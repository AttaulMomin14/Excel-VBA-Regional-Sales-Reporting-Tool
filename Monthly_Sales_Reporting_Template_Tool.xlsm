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HH\Downloads\"/>
    </mc:Choice>
  </mc:AlternateContent>
  <xr:revisionPtr revIDLastSave="0" documentId="13_ncr:1_{378A58D3-80B2-40FF-A4E0-7779C80EBD88}" xr6:coauthVersionLast="47" xr6:coauthVersionMax="47" xr10:uidLastSave="{00000000-0000-0000-0000-000000000000}"/>
  <bookViews>
    <workbookView xWindow="-110" yWindow="-110" windowWidth="25180" windowHeight="16140" xr2:uid="{00000000-000D-0000-FFFF-FFFF00000000}"/>
  </bookViews>
  <sheets>
    <sheet name="Start" sheetId="6" r:id="rId1"/>
    <sheet name="Summary" sheetId="3" r:id="rId2"/>
    <sheet name="RegionTemp" sheetId="7" r:id="rId3"/>
    <sheet name="NewData" sheetId="4" r:id="rId4"/>
  </sheets>
  <definedNames>
    <definedName name="_xlnm._FilterDatabase" localSheetId="1" hidden="1">Summary!$A$1:$H$1</definedName>
    <definedName name="MRegion">#REF!</definedName>
    <definedName name="Slicer_Company_Name">#N/A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M6" i="7" s="1"/>
  <c r="L7" i="7"/>
  <c r="L8" i="7"/>
  <c r="M8" i="7" s="1"/>
  <c r="L9" i="7"/>
  <c r="L10" i="7"/>
  <c r="L11" i="7"/>
  <c r="L12" i="7"/>
  <c r="L13" i="7"/>
  <c r="L14" i="7"/>
  <c r="M14" i="7" s="1"/>
  <c r="L15" i="7"/>
  <c r="L16" i="7"/>
  <c r="L17" i="7"/>
  <c r="L18" i="7"/>
  <c r="L19" i="7"/>
  <c r="L20" i="7"/>
  <c r="L21" i="7"/>
  <c r="L22" i="7"/>
  <c r="M22" i="7" s="1"/>
  <c r="L23" i="7"/>
  <c r="L24" i="7"/>
  <c r="L25" i="7"/>
  <c r="L26" i="7"/>
  <c r="L27" i="7"/>
  <c r="L28" i="7"/>
  <c r="L29" i="7"/>
  <c r="L30" i="7"/>
  <c r="M30" i="7" s="1"/>
  <c r="L31" i="7"/>
  <c r="L32" i="7"/>
  <c r="L33" i="7"/>
  <c r="L34" i="7"/>
  <c r="L35" i="7"/>
  <c r="L36" i="7"/>
  <c r="L37" i="7"/>
  <c r="L38" i="7"/>
  <c r="M38" i="7" s="1"/>
  <c r="L39" i="7"/>
  <c r="L40" i="7"/>
  <c r="L41" i="7"/>
  <c r="L42" i="7"/>
  <c r="L43" i="7"/>
  <c r="L44" i="7"/>
  <c r="L45" i="7"/>
  <c r="L46" i="7"/>
  <c r="M46" i="7" s="1"/>
  <c r="L47" i="7"/>
  <c r="L48" i="7"/>
  <c r="L49" i="7"/>
  <c r="L50" i="7"/>
  <c r="L51" i="7"/>
  <c r="L52" i="7"/>
  <c r="L53" i="7"/>
  <c r="L54" i="7"/>
  <c r="M54" i="7" s="1"/>
  <c r="L55" i="7"/>
  <c r="L56" i="7"/>
  <c r="L57" i="7"/>
  <c r="L58" i="7"/>
  <c r="L59" i="7"/>
  <c r="L60" i="7"/>
  <c r="L61" i="7"/>
  <c r="L62" i="7"/>
  <c r="M62" i="7" s="1"/>
  <c r="L63" i="7"/>
  <c r="L64" i="7"/>
  <c r="L65" i="7"/>
  <c r="L66" i="7"/>
  <c r="L67" i="7"/>
  <c r="L68" i="7"/>
  <c r="L69" i="7"/>
  <c r="L70" i="7"/>
  <c r="M70" i="7" s="1"/>
  <c r="L71" i="7"/>
  <c r="L72" i="7"/>
  <c r="L73" i="7"/>
  <c r="L74" i="7"/>
  <c r="L75" i="7"/>
  <c r="L76" i="7"/>
  <c r="L77" i="7"/>
  <c r="L78" i="7"/>
  <c r="M78" i="7" s="1"/>
  <c r="M3" i="7"/>
  <c r="M4" i="7"/>
  <c r="M5" i="7"/>
  <c r="M7" i="7"/>
  <c r="M9" i="7"/>
  <c r="M10" i="7"/>
  <c r="M11" i="7"/>
  <c r="M12" i="7"/>
  <c r="M13" i="7"/>
  <c r="M15" i="7"/>
  <c r="M16" i="7"/>
  <c r="M17" i="7"/>
  <c r="M18" i="7"/>
  <c r="M19" i="7"/>
  <c r="M20" i="7"/>
  <c r="M21" i="7"/>
  <c r="M23" i="7"/>
  <c r="M24" i="7"/>
  <c r="M25" i="7"/>
  <c r="M26" i="7"/>
  <c r="M27" i="7"/>
  <c r="M28" i="7"/>
  <c r="M29" i="7"/>
  <c r="M31" i="7"/>
  <c r="M32" i="7"/>
  <c r="M33" i="7"/>
  <c r="M34" i="7"/>
  <c r="M35" i="7"/>
  <c r="M36" i="7"/>
  <c r="M37" i="7"/>
  <c r="M39" i="7"/>
  <c r="M40" i="7"/>
  <c r="M41" i="7"/>
  <c r="M42" i="7"/>
  <c r="M43" i="7"/>
  <c r="M44" i="7"/>
  <c r="M45" i="7"/>
  <c r="M47" i="7"/>
  <c r="M48" i="7"/>
  <c r="M49" i="7"/>
  <c r="M50" i="7"/>
  <c r="M51" i="7"/>
  <c r="M52" i="7"/>
  <c r="M53" i="7"/>
  <c r="M55" i="7"/>
  <c r="M56" i="7"/>
  <c r="M57" i="7"/>
  <c r="M58" i="7"/>
  <c r="M59" i="7"/>
  <c r="M60" i="7"/>
  <c r="M61" i="7"/>
  <c r="M63" i="7"/>
  <c r="M64" i="7"/>
  <c r="M65" i="7"/>
  <c r="M66" i="7"/>
  <c r="M67" i="7"/>
  <c r="M68" i="7"/>
  <c r="M69" i="7"/>
  <c r="M71" i="7"/>
  <c r="M72" i="7"/>
  <c r="M73" i="7"/>
  <c r="M74" i="7"/>
  <c r="M75" i="7"/>
  <c r="M76" i="7"/>
  <c r="M77" i="7"/>
  <c r="I2" i="7" l="1"/>
  <c r="L2" i="7" l="1"/>
  <c r="M2" i="7" s="1"/>
  <c r="J2" i="7" l="1"/>
  <c r="K2" i="7"/>
</calcChain>
</file>

<file path=xl/sharedStrings.xml><?xml version="1.0" encoding="utf-8"?>
<sst xmlns="http://schemas.openxmlformats.org/spreadsheetml/2006/main" count="212" uniqueCount="59">
  <si>
    <t/>
  </si>
  <si>
    <t>Sales Document</t>
  </si>
  <si>
    <t>Currency</t>
  </si>
  <si>
    <t>Women crop top black</t>
  </si>
  <si>
    <t>Women type T simple white</t>
  </si>
  <si>
    <t>Women type T simple black</t>
  </si>
  <si>
    <t>Women basics</t>
  </si>
  <si>
    <t>Laptop bag black</t>
  </si>
  <si>
    <t>Laptop bag red</t>
  </si>
  <si>
    <t>Smartphone case diamond</t>
  </si>
  <si>
    <t>Smartphone case simple</t>
  </si>
  <si>
    <t>Unisex tank top black</t>
  </si>
  <si>
    <t>Unisex tank top white</t>
  </si>
  <si>
    <t>Women evening dress long black</t>
  </si>
  <si>
    <t>Women evening dress Cocktail red</t>
  </si>
  <si>
    <t>1030AT</t>
  </si>
  <si>
    <t>1040DE</t>
  </si>
  <si>
    <t>Lucas Basics</t>
  </si>
  <si>
    <t>Bere Kleid</t>
  </si>
  <si>
    <t>Company Name</t>
  </si>
  <si>
    <t>Company ID</t>
  </si>
  <si>
    <t>Document Date</t>
  </si>
  <si>
    <t xml:space="preserve"> </t>
  </si>
  <si>
    <t>Quantity</t>
  </si>
  <si>
    <t>Sales Value</t>
  </si>
  <si>
    <t>Reject</t>
  </si>
  <si>
    <t>Company</t>
  </si>
  <si>
    <t>Customer Name</t>
  </si>
  <si>
    <t>Article Description</t>
  </si>
  <si>
    <t>Sales Local Currency</t>
  </si>
  <si>
    <t>Sales US Dollar</t>
  </si>
  <si>
    <t>Edson</t>
  </si>
  <si>
    <t>Customer Code</t>
  </si>
  <si>
    <t>Customer code</t>
  </si>
  <si>
    <t>Article code</t>
  </si>
  <si>
    <t>Row Labels</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</si>
  <si>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</si>
  <si>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</si>
  <si>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</si>
  <si>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</si>
  <si>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</si>
  <si>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</si>
  <si>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</si>
  <si>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</si>
  <si>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</si>
  <si>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</si>
  <si>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</si>
  <si>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Internal code</t>
  </si>
  <si>
    <t>Edson Total</t>
  </si>
  <si>
    <t>Werner Strauss</t>
  </si>
  <si>
    <t>Aida GmbH</t>
  </si>
  <si>
    <t>Liebher</t>
  </si>
  <si>
    <t>Aida GmbH Total</t>
  </si>
  <si>
    <t>Werner Strauss Total</t>
  </si>
  <si>
    <t>Bere Kleid Total</t>
  </si>
  <si>
    <t>Sales in US Dollar</t>
  </si>
  <si>
    <t xml:space="preserve"> Quantity</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</si>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</sst>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9" x14ac:knownFonts="1">
    <font>
      <sz val="10"/>
      <color theme="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s>
  <fills count="5">
    <fill>
      <patternFill patternType="none"/>
    </fill>
    <fill>
      <patternFill patternType="gray125"/>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5">
    <border>
      <left/>
      <right/>
      <top/>
      <bottom/>
      <diagonal/>
    </border>
    <border>
      <left/>
      <right/>
      <top/>
      <bottom style="thin">
        <color indexed="64"/>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s>
  <cellStyleXfs count="1">
    <xf numFmtId="0" fontId="0" fillId="0" borderId="0"/>
  </cellStyleXfs>
  <cellXfs count="31">
    <xf numFmtId="0" fontId="0" fillId="0" borderId="0" xfId="0"/>
    <xf numFmtId="0" fontId="1" fillId="0" borderId="0" xfId="0" applyFont="1"/>
    <xf numFmtId="0" fontId="3" fillId="0" borderId="0" xfId="0" applyFont="1"/>
    <xf numFmtId="14" fontId="0" fillId="0" borderId="0" xfId="0" applyNumberFormat="1"/>
    <xf numFmtId="0" fontId="2" fillId="2" borderId="0" xfId="0" applyFont="1" applyFill="1" applyAlignment="1">
      <alignment horizontal="center" vertical="center" wrapText="1"/>
    </xf>
    <xf numFmtId="0" fontId="2" fillId="3"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2" xfId="0" applyBorder="1"/>
    <xf numFmtId="0" fontId="6" fillId="4" borderId="0" xfId="0" applyFont="1" applyFill="1"/>
    <xf numFmtId="0" fontId="6" fillId="4" borderId="0" xfId="0" applyFont="1" applyFill="1" applyAlignment="1">
      <alignment horizontal="left" vertical="center"/>
    </xf>
    <xf numFmtId="0" fontId="0" fillId="4" borderId="0" xfId="0" applyFill="1"/>
    <xf numFmtId="3" fontId="0" fillId="0" borderId="0" xfId="0" applyNumberFormat="1"/>
    <xf numFmtId="1" fontId="0" fillId="0" borderId="0" xfId="0" applyNumberFormat="1"/>
    <xf numFmtId="0" fontId="6" fillId="0" borderId="0" xfId="0" applyFont="1"/>
    <xf numFmtId="0" fontId="0" fillId="0" borderId="3" xfId="0" applyBorder="1"/>
    <xf numFmtId="165" fontId="0" fillId="0" borderId="0" xfId="0" applyNumberFormat="1"/>
    <xf numFmtId="0" fontId="5" fillId="4" borderId="0" xfId="0" applyFont="1" applyFill="1"/>
    <xf numFmtId="0" fontId="6" fillId="4" borderId="0" xfId="0" applyFont="1" applyFill="1" applyAlignment="1">
      <alignment horizontal="center" vertical="center"/>
    </xf>
    <xf numFmtId="0" fontId="7" fillId="0" borderId="4" xfId="0" applyFont="1" applyBorder="1"/>
    <xf numFmtId="0" fontId="0" fillId="0" borderId="4" xfId="0" applyBorder="1"/>
    <xf numFmtId="0" fontId="8" fillId="0" borderId="0" xfId="0" applyFont="1" applyProtection="1">
      <protection locked="0"/>
    </xf>
    <xf numFmtId="0" fontId="0" fillId="0" borderId="0" xfId="0" applyProtection="1">
      <protection locked="0"/>
    </xf>
    <xf numFmtId="0" fontId="0" fillId="0" borderId="0" xfId="0" applyAlignment="1">
      <alignment horizontal="center"/>
    </xf>
    <xf numFmtId="0" fontId="0" fillId="0" borderId="1" xfId="0" applyBorder="1" applyProtection="1">
      <protection locked="0"/>
    </xf>
  </cellXfs>
  <cellStyles count="1">
    <cellStyle name="Normal" xfId="0" builtinId="0" customBuiltin="1"/>
  </cellStyles>
  <dxfs count="49">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48"/>
      <tableStyleElement type="headerRow" dxfId="47"/>
      <tableStyleElement type="totalRow" dxfId="46"/>
      <tableStyleElement type="firstRowStripe" dxfId="45"/>
      <tableStyleElement type="firstColumnStripe"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 name="MySlicer" pivot="0" table="0" count="10" xr9:uid="{00000000-0011-0000-FFFF-FFFF01000000}">
      <tableStyleElement type="wholeTable" dxfId="37"/>
      <tableStyleElement type="headerRow" dxfId="36"/>
    </tableStyle>
    <tableStyle name="Table Style 1" pivot="0" count="1" xr9:uid="{00000000-0011-0000-FFFF-FFFF02000000}">
      <tableStyleElement type="wholeTable" dxfId="35"/>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783550"/>
          <a:ext cx="2174541" cy="860892"/>
          <a:chOff x="168853" y="1783772"/>
          <a:chExt cx="2238375"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3"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455894" y="1735926"/>
          <a:ext cx="1601643" cy="873746"/>
          <a:chOff x="5602432" y="1736148"/>
          <a:chExt cx="1639166"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2" y="2061730"/>
                <a:ext cx="1196686"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685610" y="2508361"/>
          <a:ext cx="2045566" cy="894529"/>
          <a:chOff x="7875444" y="2329296"/>
          <a:chExt cx="2120611"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0"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127000</xdr:rowOff>
        </xdr:from>
        <xdr:to>
          <xdr:col>6</xdr:col>
          <xdr:colOff>406400</xdr:colOff>
          <xdr:row>15</xdr:row>
          <xdr:rowOff>19050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59872" y="1810526"/>
          <a:ext cx="2011395" cy="864223"/>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711587" y="1901447"/>
          <a:ext cx="2020888" cy="864223"/>
          <a:chOff x="7914410" y="1900671"/>
          <a:chExt cx="2095933"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5" y="2118880"/>
                <a:ext cx="1565998"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TRegion"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19">
      <pivotArea dataOnly="0" labelOnly="1" outline="0" axis="axisValues" fieldPosition="0"/>
    </format>
    <format dxfId="18">
      <pivotArea dataOnly="0" labelOnly="1" outline="0" axis="axisValues" fieldPosition="0"/>
    </format>
    <format dxfId="17">
      <pivotArea outline="0" fieldPosition="0">
        <references count="1">
          <reference field="4294967294" count="1">
            <x v="1"/>
          </reference>
        </references>
      </pivotArea>
    </format>
    <format dxfId="16">
      <pivotArea outline="0" fieldPosition="0">
        <references count="1">
          <reference field="4294967294" count="1">
            <x v="1"/>
          </reference>
        </references>
      </pivotArea>
    </format>
    <format dxfId="15">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TManager" cacheId="0"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 dxfId="20">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TReject"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7">
      <pivotArea dataOnly="0" labelOnly="1" outline="0" fieldPosition="0">
        <references count="1">
          <reference field="4294967294" count="1">
            <x v="0"/>
          </reference>
        </references>
      </pivotArea>
    </format>
    <format dxfId="26">
      <pivotArea outline="0" fieldPosition="0">
        <references count="1">
          <reference field="4294967294" count="1">
            <x v="1"/>
          </reference>
        </references>
      </pivotArea>
    </format>
    <format dxfId="25">
      <pivotArea outline="0" fieldPosition="0">
        <references count="1">
          <reference field="4294967294" count="1">
            <x v="1"/>
          </reference>
        </references>
      </pivotArea>
    </format>
    <format dxfId="24">
      <pivotArea dataOnly="0" labelOnly="1" outline="0" fieldPosition="0">
        <references count="1">
          <reference field="4294967294" count="2">
            <x v="0"/>
            <x v="1"/>
          </reference>
        </references>
      </pivotArea>
    </format>
    <format dxfId="23">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Article"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4">
      <pivotArea dataOnly="0" labelOnly="1" outline="0" axis="axisValues" fieldPosition="0"/>
    </format>
    <format dxfId="33">
      <pivotArea dataOnly="0" labelOnly="1" outline="0" axis="axisValues" fieldPosition="0"/>
    </format>
    <format dxfId="32">
      <pivotArea outline="0" fieldPosition="0">
        <references count="1">
          <reference field="4294967294" count="1">
            <x v="0"/>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 dxfId="28">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4" dataDxfId="13">
  <tableColumns count="13">
    <tableColumn id="1" xr3:uid="{00000000-0010-0000-0000-000001000000}" name="Company" dataDxfId="12"/>
    <tableColumn id="2" xr3:uid="{00000000-0010-0000-0000-000002000000}" name="Sales Document" dataDxfId="11"/>
    <tableColumn id="3" xr3:uid="{00000000-0010-0000-0000-000003000000}" name="Document Date" dataDxfId="10"/>
    <tableColumn id="4" xr3:uid="{00000000-0010-0000-0000-000004000000}" name="Customer Code" dataDxfId="9"/>
    <tableColumn id="5" xr3:uid="{00000000-0010-0000-0000-000005000000}" name="Article code" dataDxfId="8"/>
    <tableColumn id="6" xr3:uid="{00000000-0010-0000-0000-000006000000}" name="Reject" dataDxfId="7"/>
    <tableColumn id="7" xr3:uid="{00000000-0010-0000-0000-000007000000}" name="Quantity" dataDxfId="6"/>
    <tableColumn id="8" xr3:uid="{00000000-0010-0000-0000-000008000000}" name="Sales Local Currency" dataDxfId="5"/>
    <tableColumn id="9" xr3:uid="{00000000-0010-0000-0000-000009000000}" name="Company Name" dataDxfId="4">
      <calculatedColumnFormula>VLOOKUP(A2,#REF!,2,FALSE)</calculatedColumnFormula>
    </tableColumn>
    <tableColumn id="10" xr3:uid="{00000000-0010-0000-0000-00000A000000}" name="Customer Name" dataDxfId="3">
      <calculatedColumnFormula>VLOOKUP(TableTemp[[#This Row],[Customer Code]],#REF!,2,FALSE)</calculatedColumnFormula>
    </tableColumn>
    <tableColumn id="11" xr3:uid="{00000000-0010-0000-0000-00000B000000}" name="Article Description" dataDxfId="2">
      <calculatedColumnFormula>VLOOKUP(TableTemp[[#This Row],[Article code]],#REF!,2,FALSE)</calculatedColumnFormula>
    </tableColumn>
    <tableColumn id="13" xr3:uid="{00000000-0010-0000-0000-00000D000000}" name="Currency" dataDxfId="1">
      <calculatedColumnFormula>VLOOKUP(TableTemp[[#This Row],[Company]],#REF!,3,FALSE)</calculatedColumnFormula>
    </tableColumn>
    <tableColumn id="12" xr3:uid="{00000000-0010-0000-0000-00000C000000}" name="Sales US Dollar" dataDxfId="0">
      <calculatedColumnFormula>IF(TableTemp[[#This Row],[Currency]]="EUR",ROUND(VLOOKUP(MONTH(TableTemp[[#This Row],[Document Date]]),#REF!,2,FALSE)*TableTemp[[#This Row],[Sales Local Currency]],2),ROUND(TableTemp[[#This Row],[Sales Local Currency]],2))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30" zoomScaleNormal="130" workbookViewId="0">
      <selection activeCell="B7" sqref="B7"/>
    </sheetView>
  </sheetViews>
  <sheetFormatPr defaultColWidth="0" defaultRowHeight="12.5" zeroHeight="1" x14ac:dyDescent="0.25"/>
  <cols>
    <col min="1" max="1" width="4" customWidth="1"/>
    <col min="2" max="2" width="9.08984375" customWidth="1"/>
    <col min="3" max="3" width="19.81640625" customWidth="1"/>
    <col min="4" max="4" width="9.08984375" customWidth="1"/>
    <col min="5" max="5" width="5.81640625" customWidth="1"/>
    <col min="6" max="6" width="9.08984375" customWidth="1"/>
    <col min="7" max="7" width="12.81640625" customWidth="1"/>
    <col min="8" max="8" width="4.6328125" customWidth="1"/>
    <col min="9" max="17" width="9.08984375" customWidth="1"/>
    <col min="18" max="16384" width="9.08984375" hidden="1"/>
  </cols>
  <sheetData>
    <row r="1" spans="8:8" ht="28.9" customHeight="1" x14ac:dyDescent="0.25"/>
    <row r="2" spans="8:8" ht="11.65"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ht="13" x14ac:dyDescent="0.3">
      <c r="H12" s="1"/>
    </row>
    <row r="13" spans="8:8" ht="13" x14ac:dyDescent="0.3">
      <c r="H13" s="1"/>
    </row>
    <row r="14" spans="8:8" x14ac:dyDescent="0.25"/>
    <row r="15" spans="8:8" x14ac:dyDescent="0.25"/>
    <row r="16" spans="8:8" x14ac:dyDescent="0.25"/>
    <row r="17" spans="1:7" x14ac:dyDescent="0.25"/>
    <row r="18" spans="1:7" x14ac:dyDescent="0.25"/>
    <row r="19" spans="1:7" ht="13.5" thickBot="1" x14ac:dyDescent="0.35">
      <c r="B19" s="25" t="s">
        <v>46</v>
      </c>
      <c r="C19" s="26"/>
      <c r="D19" s="26"/>
      <c r="E19" s="26"/>
      <c r="F19" s="26"/>
      <c r="G19" s="26"/>
    </row>
    <row r="20" spans="1:7" x14ac:dyDescent="0.25">
      <c r="A20" s="27"/>
      <c r="B20" s="28"/>
      <c r="C20" s="28"/>
      <c r="D20" s="28"/>
      <c r="E20" s="28"/>
      <c r="F20" s="28"/>
      <c r="G20" s="28"/>
    </row>
    <row r="21" spans="1:7" x14ac:dyDescent="0.25">
      <c r="A21" s="28"/>
      <c r="B21" s="28"/>
      <c r="C21" s="28"/>
      <c r="D21" s="28"/>
      <c r="E21" s="28"/>
      <c r="F21" s="28"/>
      <c r="G21" s="28"/>
    </row>
    <row r="22" spans="1:7" x14ac:dyDescent="0.25">
      <c r="A22" s="28"/>
      <c r="B22" s="28"/>
      <c r="C22" s="28"/>
      <c r="D22" s="28"/>
      <c r="E22" s="28"/>
      <c r="F22" s="28"/>
      <c r="G22" s="28"/>
    </row>
    <row r="23" spans="1:7" x14ac:dyDescent="0.25">
      <c r="A23" s="28"/>
      <c r="B23" s="28"/>
      <c r="C23" s="28"/>
      <c r="D23" s="28"/>
      <c r="E23" s="28"/>
      <c r="F23" s="28"/>
      <c r="G23" s="28"/>
    </row>
    <row r="24" spans="1:7" x14ac:dyDescent="0.25">
      <c r="A24" s="28"/>
      <c r="B24" s="28"/>
      <c r="C24" s="28"/>
      <c r="D24" s="28"/>
      <c r="E24" s="28"/>
      <c r="F24" s="28"/>
      <c r="G24" s="28"/>
    </row>
    <row r="25" spans="1:7" x14ac:dyDescent="0.25">
      <c r="A25" s="28"/>
      <c r="B25" s="28"/>
      <c r="C25" s="28"/>
      <c r="D25" s="28"/>
      <c r="E25" s="28"/>
      <c r="F25" s="28"/>
      <c r="G25" s="28"/>
    </row>
    <row r="26" spans="1:7" x14ac:dyDescent="0.25">
      <c r="A26" s="28"/>
      <c r="B26" s="28"/>
      <c r="C26" s="28"/>
      <c r="D26" s="28"/>
      <c r="E26" s="28"/>
      <c r="F26" s="28"/>
      <c r="G26" s="28"/>
    </row>
    <row r="27" spans="1:7" x14ac:dyDescent="0.25">
      <c r="A27" s="28"/>
      <c r="B27" s="28"/>
      <c r="C27" s="28"/>
      <c r="D27" s="28"/>
      <c r="E27" s="28"/>
      <c r="F27" s="28"/>
      <c r="G27" s="28"/>
    </row>
    <row r="28" spans="1:7" x14ac:dyDescent="0.25">
      <c r="A28" s="28"/>
      <c r="B28" s="28"/>
      <c r="C28" s="28"/>
      <c r="D28" s="28"/>
      <c r="E28" s="28"/>
      <c r="F28" s="28"/>
      <c r="G28" s="28"/>
    </row>
    <row r="29" spans="1:7" x14ac:dyDescent="0.25">
      <c r="A29" s="28"/>
      <c r="B29" s="28"/>
      <c r="C29" s="28"/>
      <c r="D29" s="28"/>
      <c r="E29" s="28"/>
      <c r="F29" s="28"/>
      <c r="G29" s="28"/>
    </row>
    <row r="30" spans="1:7" x14ac:dyDescent="0.25">
      <c r="A30" s="28"/>
      <c r="B30" s="28"/>
      <c r="C30" s="28"/>
      <c r="D30" s="28"/>
      <c r="E30" s="28"/>
      <c r="F30" s="28"/>
      <c r="G30" s="28"/>
    </row>
    <row r="31" spans="1:7" x14ac:dyDescent="0.25">
      <c r="A31" s="28"/>
      <c r="B31" s="28"/>
      <c r="C31" s="28"/>
      <c r="D31" s="28"/>
      <c r="E31" s="28"/>
      <c r="F31" s="28"/>
      <c r="G31" s="28"/>
    </row>
    <row r="32" spans="1:7" x14ac:dyDescent="0.25">
      <c r="A32" s="28"/>
      <c r="B32" s="28"/>
      <c r="C32" s="28"/>
      <c r="D32" s="28"/>
      <c r="E32" s="28"/>
      <c r="F32" s="28"/>
      <c r="G32" s="28"/>
    </row>
    <row r="33" spans="1:7" x14ac:dyDescent="0.25">
      <c r="A33" s="28"/>
      <c r="B33" s="30"/>
      <c r="C33" s="30"/>
      <c r="D33" s="30"/>
      <c r="E33" s="30"/>
      <c r="F33" s="30"/>
      <c r="G33" s="30"/>
    </row>
    <row r="34" spans="1:7" x14ac:dyDescent="0.25">
      <c r="A34" s="28"/>
      <c r="B34" s="28"/>
      <c r="C34" s="28"/>
      <c r="D34" s="28"/>
      <c r="E34" s="28"/>
      <c r="F34" s="28"/>
      <c r="G34" s="28"/>
    </row>
    <row r="35" spans="1:7" hidden="1" x14ac:dyDescent="0.25">
      <c r="A35" s="28"/>
      <c r="B35" s="28"/>
      <c r="C35" s="28"/>
      <c r="D35" s="28"/>
      <c r="E35" s="28"/>
      <c r="F35" s="28"/>
      <c r="G35" s="28"/>
    </row>
    <row r="36" spans="1:7" hidden="1" x14ac:dyDescent="0.25">
      <c r="A36" s="28"/>
      <c r="B36" s="28"/>
      <c r="C36" s="28"/>
      <c r="D36" s="28"/>
      <c r="E36" s="28"/>
      <c r="F36" s="28"/>
      <c r="G36" s="28"/>
    </row>
    <row r="37" spans="1:7" hidden="1" x14ac:dyDescent="0.25">
      <c r="A37" s="2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127000</xdr:rowOff>
              </from>
              <to>
                <xdr:col>6</xdr:col>
                <xdr:colOff>419100</xdr:colOff>
                <xdr:row>15</xdr:row>
                <xdr:rowOff>31750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438150</xdr:colOff>
                <xdr:row>11</xdr:row>
                <xdr:rowOff>101600</xdr:rowOff>
              </from>
              <to>
                <xdr:col>3</xdr:col>
                <xdr:colOff>50800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6350</xdr:rowOff>
              </from>
              <to>
                <xdr:col>6</xdr:col>
                <xdr:colOff>603250</xdr:colOff>
                <xdr:row>13</xdr:row>
                <xdr:rowOff>57150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63500</xdr:colOff>
                <xdr:row>11</xdr:row>
                <xdr:rowOff>101600</xdr:rowOff>
              </from>
              <to>
                <xdr:col>10</xdr:col>
                <xdr:colOff>603250</xdr:colOff>
                <xdr:row>14</xdr:row>
                <xdr:rowOff>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476250</xdr:colOff>
                <xdr:row>15</xdr:row>
                <xdr:rowOff>146050</xdr:rowOff>
              </from>
              <to>
                <xdr:col>15</xdr:col>
                <xdr:colOff>101600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158750</xdr:rowOff>
              </from>
              <to>
                <xdr:col>15</xdr:col>
                <xdr:colOff>101600</xdr:colOff>
                <xdr:row>14</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C47" sqref="C47"/>
    </sheetView>
  </sheetViews>
  <sheetFormatPr defaultColWidth="9.08984375" defaultRowHeight="12.5" x14ac:dyDescent="0.25"/>
  <cols>
    <col min="1" max="1" width="13.6328125" style="2" customWidth="1"/>
    <col min="2" max="8" width="16" style="2" customWidth="1"/>
    <col min="9" max="16384" width="9.08984375" style="2"/>
  </cols>
  <sheetData>
    <row r="1" spans="1:8" ht="13" x14ac:dyDescent="0.25">
      <c r="A1" s="4" t="s">
        <v>20</v>
      </c>
      <c r="B1" s="4" t="s">
        <v>1</v>
      </c>
      <c r="C1" s="4" t="s">
        <v>21</v>
      </c>
      <c r="D1" s="4" t="s">
        <v>33</v>
      </c>
      <c r="E1" s="4" t="s">
        <v>34</v>
      </c>
      <c r="F1" s="4" t="s">
        <v>25</v>
      </c>
      <c r="G1" s="4" t="s">
        <v>23</v>
      </c>
      <c r="H1" s="4" t="s">
        <v>24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H1" zoomScaleNormal="100" workbookViewId="0">
      <selection activeCell="A2" sqref="A2:H78"/>
    </sheetView>
  </sheetViews>
  <sheetFormatPr defaultRowHeight="12.5" x14ac:dyDescent="0.25"/>
  <cols>
    <col min="1" max="5" width="13.81640625" customWidth="1"/>
    <col min="6" max="6" width="8.6328125" customWidth="1"/>
    <col min="7" max="13" width="13.81640625" customWidth="1"/>
    <col min="18" max="18" width="3.26953125" customWidth="1"/>
    <col min="19" max="19" width="19.26953125" customWidth="1"/>
    <col min="20" max="20" width="13.08984375" customWidth="1"/>
    <col min="21" max="21" width="15" customWidth="1"/>
    <col min="22" max="22" width="9.81640625" customWidth="1"/>
    <col min="23" max="23" width="2.6328125" customWidth="1"/>
    <col min="24" max="24" width="29.36328125" bestFit="1" customWidth="1"/>
    <col min="25" max="25" width="21.36328125" bestFit="1" customWidth="1"/>
    <col min="26" max="26" width="9.81640625" customWidth="1"/>
    <col min="27" max="27" width="6.26953125" customWidth="1"/>
    <col min="28" max="28" width="5.26953125" customWidth="1"/>
    <col min="29" max="29" width="29.36328125" bestFit="1" customWidth="1"/>
    <col min="30" max="35" width="9.81640625" customWidth="1"/>
    <col min="36" max="36" width="2.6328125" customWidth="1"/>
    <col min="37" max="37" width="37.36328125" customWidth="1"/>
    <col min="38" max="38" width="22.6328125" bestFit="1" customWidth="1"/>
    <col min="39" max="39" width="15.7265625" customWidth="1"/>
  </cols>
  <sheetData>
    <row r="1" spans="1:47" ht="27.75" customHeight="1" x14ac:dyDescent="0.3">
      <c r="A1" s="5" t="s">
        <v>26</v>
      </c>
      <c r="B1" s="5" t="s">
        <v>1</v>
      </c>
      <c r="C1" s="5" t="s">
        <v>21</v>
      </c>
      <c r="D1" s="5" t="s">
        <v>32</v>
      </c>
      <c r="E1" s="5" t="s">
        <v>34</v>
      </c>
      <c r="F1" s="5" t="s">
        <v>25</v>
      </c>
      <c r="G1" s="5" t="s">
        <v>23</v>
      </c>
      <c r="H1" s="5" t="s">
        <v>29</v>
      </c>
      <c r="I1" s="5" t="s">
        <v>19</v>
      </c>
      <c r="J1" s="5" t="s">
        <v>27</v>
      </c>
      <c r="K1" s="5" t="s">
        <v>28</v>
      </c>
      <c r="L1" s="5" t="s">
        <v>2</v>
      </c>
      <c r="M1" s="5" t="s">
        <v>30</v>
      </c>
      <c r="R1" s="17"/>
      <c r="S1" s="16" t="s">
        <v>40</v>
      </c>
      <c r="T1" s="15"/>
      <c r="U1" s="24">
        <v>201810</v>
      </c>
      <c r="W1" s="17"/>
      <c r="X1" s="16" t="s">
        <v>41</v>
      </c>
      <c r="Y1" s="15"/>
      <c r="Z1" s="15"/>
      <c r="AA1" s="15"/>
      <c r="AB1" s="15"/>
      <c r="AC1" s="15"/>
      <c r="AD1" s="15"/>
      <c r="AE1" s="15"/>
      <c r="AF1" s="15"/>
      <c r="AG1" s="15"/>
      <c r="AH1" s="20"/>
      <c r="AI1" s="20"/>
      <c r="AJ1" s="23"/>
      <c r="AK1" s="16" t="s">
        <v>45</v>
      </c>
      <c r="AL1" s="16"/>
      <c r="AM1" s="15"/>
      <c r="AN1" s="15"/>
      <c r="AO1" s="15"/>
      <c r="AP1" s="15"/>
      <c r="AQ1" s="15"/>
      <c r="AR1" s="15"/>
      <c r="AS1" s="15"/>
      <c r="AT1" s="15"/>
      <c r="AU1" s="15"/>
    </row>
    <row r="2" spans="1:47" x14ac:dyDescent="0.25">
      <c r="A2" s="2" t="s">
        <v>15</v>
      </c>
      <c r="B2">
        <v>84030</v>
      </c>
      <c r="C2" s="3">
        <v>43380</v>
      </c>
      <c r="D2">
        <v>8050</v>
      </c>
      <c r="E2">
        <v>120</v>
      </c>
      <c r="F2" t="s">
        <v>0</v>
      </c>
      <c r="G2">
        <v>120</v>
      </c>
      <c r="H2">
        <v>6960</v>
      </c>
      <c r="I2" s="2" t="e">
        <f>VLOOKUP(A2,#REF!,2,FALSE)</f>
        <v>#REF!</v>
      </c>
      <c r="J2" t="e">
        <f>VLOOKUP(TableTemp[[#This Row],[Customer Code]],#REF!,2,FALSE)</f>
        <v>#REF!</v>
      </c>
      <c r="K2" t="e">
        <f>VLOOKUP(TableTemp[[#This Row],[Article code]],#REF!,2,FALSE)</f>
        <v>#REF!</v>
      </c>
      <c r="L2" t="e">
        <f>VLOOKUP(TableTemp[[#This Row],[Company]],#REF!,3,FALSE)</f>
        <v>#REF!</v>
      </c>
      <c r="M2" s="6" t="e">
        <f>IF(TableTemp[[#This Row],[Currency]]="EUR",ROUND(VLOOKUP(MONTH(TableTemp[[#This Row],[Document Date]]),#REF!,2,FALSE)*TableTemp[[#This Row],[Sales Local Currency]],2),ROUND(TableTemp[[#This Row],[Sales Local Currency]],2))</f>
        <v>#REF!</v>
      </c>
    </row>
    <row r="3" spans="1:47" x14ac:dyDescent="0.25">
      <c r="A3" s="2" t="s">
        <v>15</v>
      </c>
      <c r="B3">
        <v>84030</v>
      </c>
      <c r="C3" s="3">
        <v>43380</v>
      </c>
      <c r="D3">
        <v>8050</v>
      </c>
      <c r="E3">
        <v>104</v>
      </c>
      <c r="F3">
        <v>1</v>
      </c>
      <c r="G3">
        <v>430</v>
      </c>
      <c r="H3">
        <v>5160</v>
      </c>
      <c r="I3" t="e">
        <f>VLOOKUP(A3,#REF!,2,FALSE)</f>
        <v>#REF!</v>
      </c>
      <c r="J3" t="e">
        <f>VLOOKUP(TableTemp[[#This Row],[Customer Code]],#REF!,2,FALSE)</f>
        <v>#REF!</v>
      </c>
      <c r="K3" t="e">
        <f>VLOOKUP(TableTemp[[#This Row],[Article code]],#REF!,2,FALSE)</f>
        <v>#REF!</v>
      </c>
      <c r="L3" t="e">
        <f>VLOOKUP(TableTemp[[#This Row],[Company]],#REF!,3,FALSE)</f>
        <v>#REF!</v>
      </c>
      <c r="M3" s="6" t="e">
        <f>IF(TableTemp[[#This Row],[Currency]]="EUR",ROUND(VLOOKUP(MONTH(TableTemp[[#This Row],[Document Date]]),#REF!,2,FALSE)*TableTemp[[#This Row],[Sales Local Currency]],2),ROUND(TableTemp[[#This Row],[Sales Local Currency]],2))</f>
        <v>#REF!</v>
      </c>
      <c r="Q3" s="21"/>
      <c r="V3" s="14"/>
      <c r="AG3" s="21"/>
      <c r="AK3" s="7" t="s">
        <v>35</v>
      </c>
      <c r="AL3" s="29" t="s">
        <v>55</v>
      </c>
      <c r="AM3" s="12" t="s">
        <v>56</v>
      </c>
    </row>
    <row r="4" spans="1:47" x14ac:dyDescent="0.25">
      <c r="A4" s="2" t="s">
        <v>15</v>
      </c>
      <c r="B4">
        <v>84030</v>
      </c>
      <c r="C4" s="3">
        <v>43380</v>
      </c>
      <c r="D4">
        <v>8050</v>
      </c>
      <c r="E4">
        <v>105</v>
      </c>
      <c r="F4" t="s">
        <v>0</v>
      </c>
      <c r="G4">
        <v>120</v>
      </c>
      <c r="H4">
        <v>1200</v>
      </c>
      <c r="I4" t="e">
        <f>VLOOKUP(A4,#REF!,2,FALSE)</f>
        <v>#REF!</v>
      </c>
      <c r="J4" t="e">
        <f>VLOOKUP(TableTemp[[#This Row],[Customer Code]],#REF!,2,FALSE)</f>
        <v>#REF!</v>
      </c>
      <c r="K4" t="e">
        <f>VLOOKUP(TableTemp[[#This Row],[Article code]],#REF!,2,FALSE)</f>
        <v>#REF!</v>
      </c>
      <c r="L4" t="e">
        <f>VLOOKUP(TableTemp[[#This Row],[Company]],#REF!,3,FALSE)</f>
        <v>#REF!</v>
      </c>
      <c r="M4" s="6" t="e">
        <f>IF(TableTemp[[#This Row],[Currency]]="EUR",ROUND(VLOOKUP(MONTH(TableTemp[[#This Row],[Document Date]]),#REF!,2,FALSE)*TableTemp[[#This Row],[Sales Local Currency]],2),ROUND(TableTemp[[#This Row],[Sales Local Currency]],2))</f>
        <v>#REF!</v>
      </c>
      <c r="Q4" s="21"/>
      <c r="V4" s="14"/>
      <c r="AG4" s="21"/>
      <c r="AK4" s="8" t="s">
        <v>18</v>
      </c>
      <c r="AL4" s="18"/>
      <c r="AM4" s="18"/>
    </row>
    <row r="5" spans="1:47" x14ac:dyDescent="0.25">
      <c r="A5" s="2" t="s">
        <v>15</v>
      </c>
      <c r="B5">
        <v>84030</v>
      </c>
      <c r="C5" s="3">
        <v>43380</v>
      </c>
      <c r="D5">
        <v>8050</v>
      </c>
      <c r="E5">
        <v>107</v>
      </c>
      <c r="F5">
        <v>1</v>
      </c>
      <c r="G5">
        <v>690</v>
      </c>
      <c r="H5">
        <v>3450</v>
      </c>
      <c r="I5" t="e">
        <f>VLOOKUP(A5,#REF!,2,FALSE)</f>
        <v>#REF!</v>
      </c>
      <c r="J5" t="e">
        <f>VLOOKUP(TableTemp[[#This Row],[Customer Code]],#REF!,2,FALSE)</f>
        <v>#REF!</v>
      </c>
      <c r="K5" t="e">
        <f>VLOOKUP(TableTemp[[#This Row],[Article code]],#REF!,2,FALSE)</f>
        <v>#REF!</v>
      </c>
      <c r="L5" t="e">
        <f>VLOOKUP(TableTemp[[#This Row],[Company]],#REF!,3,FALSE)</f>
        <v>#REF!</v>
      </c>
      <c r="M5" s="6" t="e">
        <f>IF(TableTemp[[#This Row],[Currency]]="EUR",ROUND(VLOOKUP(MONTH(TableTemp[[#This Row],[Document Date]]),#REF!,2,FALSE)*TableTemp[[#This Row],[Sales Local Currency]],2),ROUND(TableTemp[[#This Row],[Sales Local Currency]],2))</f>
        <v>#REF!</v>
      </c>
      <c r="Q5" s="21"/>
      <c r="S5" s="7" t="s">
        <v>38</v>
      </c>
      <c r="T5" s="12" t="s">
        <v>36</v>
      </c>
      <c r="U5" t="s">
        <v>22</v>
      </c>
      <c r="V5" s="14"/>
      <c r="X5" s="7" t="s">
        <v>39</v>
      </c>
      <c r="Y5" s="12" t="s">
        <v>36</v>
      </c>
      <c r="Z5" s="12" t="s">
        <v>42</v>
      </c>
      <c r="AC5" s="7" t="s">
        <v>39</v>
      </c>
      <c r="AD5" s="12" t="s">
        <v>43</v>
      </c>
      <c r="AE5" s="12" t="s">
        <v>44</v>
      </c>
      <c r="AG5" s="21"/>
      <c r="AK5" s="9" t="s">
        <v>31</v>
      </c>
      <c r="AL5" s="18"/>
      <c r="AM5" s="18"/>
    </row>
    <row r="6" spans="1:47" x14ac:dyDescent="0.25">
      <c r="A6" s="2" t="s">
        <v>15</v>
      </c>
      <c r="B6">
        <v>84031</v>
      </c>
      <c r="C6" s="3">
        <v>43381</v>
      </c>
      <c r="D6">
        <v>8040</v>
      </c>
      <c r="E6">
        <v>104</v>
      </c>
      <c r="F6" t="s">
        <v>0</v>
      </c>
      <c r="G6">
        <v>870</v>
      </c>
      <c r="H6">
        <v>10440</v>
      </c>
      <c r="I6" t="e">
        <f>VLOOKUP(A6,#REF!,2,FALSE)</f>
        <v>#REF!</v>
      </c>
      <c r="J6" t="e">
        <f>VLOOKUP(TableTemp[[#This Row],[Customer Code]],#REF!,2,FALSE)</f>
        <v>#REF!</v>
      </c>
      <c r="K6" t="e">
        <f>VLOOKUP(TableTemp[[#This Row],[Article code]],#REF!,2,FALSE)</f>
        <v>#REF!</v>
      </c>
      <c r="L6" t="e">
        <f>VLOOKUP(TableTemp[[#This Row],[Company]],#REF!,3,FALSE)</f>
        <v>#REF!</v>
      </c>
      <c r="M6" s="6" t="e">
        <f>IF(TableTemp[[#This Row],[Currency]]="EUR",ROUND(VLOOKUP(MONTH(TableTemp[[#This Row],[Document Date]]),#REF!,2,FALSE)*TableTemp[[#This Row],[Sales Local Currency]],2),ROUND(TableTemp[[#This Row],[Sales Local Currency]],2))</f>
        <v>#REF!</v>
      </c>
      <c r="Q6" s="21"/>
      <c r="S6" t="s">
        <v>49</v>
      </c>
      <c r="T6" s="11">
        <v>378530.11</v>
      </c>
      <c r="U6" s="13">
        <v>0.58348273131003381</v>
      </c>
      <c r="V6" s="14"/>
      <c r="X6" t="s">
        <v>9</v>
      </c>
      <c r="Y6" s="18">
        <v>159321.73000000001</v>
      </c>
      <c r="Z6" s="19">
        <v>2260</v>
      </c>
      <c r="AC6" t="s">
        <v>8</v>
      </c>
      <c r="AD6">
        <v>6</v>
      </c>
      <c r="AE6" s="22">
        <v>3.2786885245901639E-3</v>
      </c>
      <c r="AG6" s="21"/>
      <c r="AK6" s="10" t="s">
        <v>13</v>
      </c>
      <c r="AL6" s="18">
        <v>24039.25</v>
      </c>
      <c r="AM6" s="18">
        <v>330</v>
      </c>
    </row>
    <row r="7" spans="1:47" x14ac:dyDescent="0.25">
      <c r="A7" s="2" t="s">
        <v>15</v>
      </c>
      <c r="B7">
        <v>84031</v>
      </c>
      <c r="C7" s="3">
        <v>43381</v>
      </c>
      <c r="D7">
        <v>8040</v>
      </c>
      <c r="E7">
        <v>107</v>
      </c>
      <c r="F7" t="s">
        <v>0</v>
      </c>
      <c r="G7">
        <v>760</v>
      </c>
      <c r="H7">
        <v>3800</v>
      </c>
      <c r="I7" t="e">
        <f>VLOOKUP(A7,#REF!,2,FALSE)</f>
        <v>#REF!</v>
      </c>
      <c r="J7" t="e">
        <f>VLOOKUP(TableTemp[[#This Row],[Customer Code]],#REF!,2,FALSE)</f>
        <v>#REF!</v>
      </c>
      <c r="K7" t="e">
        <f>VLOOKUP(TableTemp[[#This Row],[Article code]],#REF!,2,FALSE)</f>
        <v>#REF!</v>
      </c>
      <c r="L7" t="e">
        <f>VLOOKUP(TableTemp[[#This Row],[Company]],#REF!,3,FALSE)</f>
        <v>#REF!</v>
      </c>
      <c r="M7" s="6" t="e">
        <f>IF(TableTemp[[#This Row],[Currency]]="EUR",ROUND(VLOOKUP(MONTH(TableTemp[[#This Row],[Document Date]]),#REF!,2,FALSE)*TableTemp[[#This Row],[Sales Local Currency]],2),ROUND(TableTemp[[#This Row],[Sales Local Currency]],2))</f>
        <v>#REF!</v>
      </c>
      <c r="Q7" s="21"/>
      <c r="S7" t="s">
        <v>50</v>
      </c>
      <c r="T7" s="11">
        <v>174854.43999999997</v>
      </c>
      <c r="U7" s="13">
        <v>0.269528218595045</v>
      </c>
      <c r="V7" s="14"/>
      <c r="X7" t="s">
        <v>13</v>
      </c>
      <c r="Y7" s="18">
        <v>158804.76</v>
      </c>
      <c r="Z7" s="19">
        <v>2180</v>
      </c>
      <c r="AC7" t="s">
        <v>12</v>
      </c>
      <c r="AD7">
        <v>4</v>
      </c>
      <c r="AE7" s="22">
        <v>3.9215686274509803E-3</v>
      </c>
      <c r="AG7" s="21"/>
      <c r="AK7" s="10" t="s">
        <v>3</v>
      </c>
      <c r="AL7" s="18">
        <v>5522.21</v>
      </c>
      <c r="AM7" s="18">
        <v>470</v>
      </c>
    </row>
    <row r="8" spans="1:47" x14ac:dyDescent="0.25">
      <c r="A8" s="2" t="s">
        <v>15</v>
      </c>
      <c r="B8">
        <v>84031</v>
      </c>
      <c r="C8" s="3">
        <v>43381</v>
      </c>
      <c r="D8">
        <v>8040</v>
      </c>
      <c r="E8">
        <v>110</v>
      </c>
      <c r="F8">
        <v>2</v>
      </c>
      <c r="G8">
        <v>500</v>
      </c>
      <c r="H8">
        <v>30000</v>
      </c>
      <c r="I8" t="e">
        <f>VLOOKUP(A8,#REF!,2,FALSE)</f>
        <v>#REF!</v>
      </c>
      <c r="J8" t="e">
        <f>VLOOKUP(TableTemp[[#This Row],[Customer Code]],#REF!,2,FALSE)</f>
        <v>#REF!</v>
      </c>
      <c r="K8" t="e">
        <f>VLOOKUP(TableTemp[[#This Row],[Article code]],#REF!,2,FALSE)</f>
        <v>#REF!</v>
      </c>
      <c r="L8" t="e">
        <f>VLOOKUP(TableTemp[[#This Row],[Company]],#REF!,3,FALSE)</f>
        <v>#REF!</v>
      </c>
      <c r="M8" s="6" t="e">
        <f>IF(TableTemp[[#This Row],[Currency]]="EUR",ROUND(VLOOKUP(MONTH(TableTemp[[#This Row],[Document Date]]),#REF!,2,FALSE)*TableTemp[[#This Row],[Sales Local Currency]],2),ROUND(TableTemp[[#This Row],[Sales Local Currency]],2))</f>
        <v>#REF!</v>
      </c>
      <c r="Q8" s="21"/>
      <c r="S8" t="s">
        <v>51</v>
      </c>
      <c r="T8" s="11">
        <v>58511.98</v>
      </c>
      <c r="U8" s="13">
        <v>9.0192904085643483E-2</v>
      </c>
      <c r="V8" s="14"/>
      <c r="X8" t="s">
        <v>14</v>
      </c>
      <c r="Y8" s="18">
        <v>104945.56</v>
      </c>
      <c r="Z8" s="19">
        <v>1540</v>
      </c>
      <c r="AC8" t="s">
        <v>9</v>
      </c>
      <c r="AD8">
        <v>2</v>
      </c>
      <c r="AE8" s="22">
        <v>8.8495575221238937E-4</v>
      </c>
      <c r="AG8" s="21"/>
      <c r="AK8" s="10" t="s">
        <v>11</v>
      </c>
      <c r="AL8" s="18">
        <v>2749.36</v>
      </c>
      <c r="AM8" s="18">
        <v>390</v>
      </c>
    </row>
    <row r="9" spans="1:47" x14ac:dyDescent="0.25">
      <c r="A9" s="2" t="s">
        <v>15</v>
      </c>
      <c r="B9">
        <v>88112</v>
      </c>
      <c r="C9" s="3">
        <v>43384</v>
      </c>
      <c r="D9">
        <v>8040</v>
      </c>
      <c r="E9">
        <v>110</v>
      </c>
      <c r="G9">
        <v>480</v>
      </c>
      <c r="H9">
        <v>28800</v>
      </c>
      <c r="I9" t="e">
        <f>VLOOKUP(A9,#REF!,2,FALSE)</f>
        <v>#REF!</v>
      </c>
      <c r="J9" t="e">
        <f>VLOOKUP(TableTemp[[#This Row],[Customer Code]],#REF!,2,FALSE)</f>
        <v>#REF!</v>
      </c>
      <c r="K9" t="e">
        <f>VLOOKUP(TableTemp[[#This Row],[Article code]],#REF!,2,FALSE)</f>
        <v>#REF!</v>
      </c>
      <c r="L9" t="e">
        <f>VLOOKUP(TableTemp[[#This Row],[Company]],#REF!,3,FALSE)</f>
        <v>#REF!</v>
      </c>
      <c r="M9" s="6" t="e">
        <f>IF(TableTemp[[#This Row],[Currency]]="EUR",ROUND(VLOOKUP(MONTH(TableTemp[[#This Row],[Document Date]]),#REF!,2,FALSE)*TableTemp[[#This Row],[Sales Local Currency]],2),ROUND(TableTemp[[#This Row],[Sales Local Currency]],2))</f>
        <v>#REF!</v>
      </c>
      <c r="Q9" s="21"/>
      <c r="S9" t="s">
        <v>31</v>
      </c>
      <c r="T9" s="11">
        <v>36846.080000000002</v>
      </c>
      <c r="U9" s="13">
        <v>5.6796146009277869E-2</v>
      </c>
      <c r="V9" s="14"/>
      <c r="X9" t="s">
        <v>8</v>
      </c>
      <c r="Y9" s="18">
        <v>60203.890000000007</v>
      </c>
      <c r="Z9" s="19">
        <v>1830</v>
      </c>
      <c r="AC9" t="s">
        <v>3</v>
      </c>
      <c r="AD9">
        <v>1</v>
      </c>
      <c r="AE9" s="22">
        <v>1.3888888888888889E-3</v>
      </c>
      <c r="AG9" s="21"/>
      <c r="AK9" s="10" t="s">
        <v>6</v>
      </c>
      <c r="AL9" s="18">
        <v>2702.36</v>
      </c>
      <c r="AM9" s="18">
        <v>460</v>
      </c>
    </row>
    <row r="10" spans="1:47" x14ac:dyDescent="0.25">
      <c r="A10" s="2" t="s">
        <v>15</v>
      </c>
      <c r="B10">
        <v>88112</v>
      </c>
      <c r="C10" s="3">
        <v>43384</v>
      </c>
      <c r="D10">
        <v>8040</v>
      </c>
      <c r="E10">
        <v>119</v>
      </c>
      <c r="F10" t="s">
        <v>0</v>
      </c>
      <c r="G10">
        <v>630</v>
      </c>
      <c r="H10">
        <v>39060</v>
      </c>
      <c r="I10" t="e">
        <f>VLOOKUP(A10,#REF!,2,FALSE)</f>
        <v>#REF!</v>
      </c>
      <c r="J10" t="e">
        <f>VLOOKUP(TableTemp[[#This Row],[Customer Code]],#REF!,2,FALSE)</f>
        <v>#REF!</v>
      </c>
      <c r="K10" t="e">
        <f>VLOOKUP(TableTemp[[#This Row],[Article code]],#REF!,2,FALSE)</f>
        <v>#REF!</v>
      </c>
      <c r="L10" t="e">
        <f>VLOOKUP(TableTemp[[#This Row],[Company]],#REF!,3,FALSE)</f>
        <v>#REF!</v>
      </c>
      <c r="M10" s="6" t="e">
        <f>IF(TableTemp[[#This Row],[Currency]]="EUR",ROUND(VLOOKUP(MONTH(TableTemp[[#This Row],[Document Date]]),#REF!,2,FALSE)*TableTemp[[#This Row],[Sales Local Currency]],2),ROUND(TableTemp[[#This Row],[Sales Local Currency]],2))</f>
        <v>#REF!</v>
      </c>
      <c r="Q10" s="21"/>
      <c r="S10" t="s">
        <v>37</v>
      </c>
      <c r="T10" s="11">
        <v>648742.60999999987</v>
      </c>
      <c r="U10" s="13">
        <v>1</v>
      </c>
      <c r="V10" s="14"/>
      <c r="X10" t="s">
        <v>7</v>
      </c>
      <c r="Y10" s="18">
        <v>50992.350000000006</v>
      </c>
      <c r="Z10" s="19">
        <v>1550</v>
      </c>
      <c r="AC10" t="s">
        <v>13</v>
      </c>
      <c r="AD10">
        <v>1</v>
      </c>
      <c r="AE10" s="22">
        <v>4.5871559633027525E-4</v>
      </c>
      <c r="AG10" s="21"/>
      <c r="AK10" s="10" t="s">
        <v>12</v>
      </c>
      <c r="AL10" s="18">
        <v>1832.9</v>
      </c>
      <c r="AM10" s="18">
        <v>260</v>
      </c>
    </row>
    <row r="11" spans="1:47" x14ac:dyDescent="0.25">
      <c r="A11" s="2" t="s">
        <v>15</v>
      </c>
      <c r="B11">
        <v>88112</v>
      </c>
      <c r="C11" s="3">
        <v>43384</v>
      </c>
      <c r="D11">
        <v>8040</v>
      </c>
      <c r="E11">
        <v>120</v>
      </c>
      <c r="G11">
        <v>150</v>
      </c>
      <c r="H11">
        <v>8700</v>
      </c>
      <c r="I11" t="e">
        <f>VLOOKUP(A11,#REF!,2,FALSE)</f>
        <v>#REF!</v>
      </c>
      <c r="J11" t="e">
        <f>VLOOKUP(TableTemp[[#This Row],[Customer Code]],#REF!,2,FALSE)</f>
        <v>#REF!</v>
      </c>
      <c r="K11" t="e">
        <f>VLOOKUP(TableTemp[[#This Row],[Article code]],#REF!,2,FALSE)</f>
        <v>#REF!</v>
      </c>
      <c r="L11" t="e">
        <f>VLOOKUP(TableTemp[[#This Row],[Company]],#REF!,3,FALSE)</f>
        <v>#REF!</v>
      </c>
      <c r="M11" s="6" t="e">
        <f>IF(TableTemp[[#This Row],[Currency]]="EUR",ROUND(VLOOKUP(MONTH(TableTemp[[#This Row],[Document Date]]),#REF!,2,FALSE)*TableTemp[[#This Row],[Sales Local Currency]],2),ROUND(TableTemp[[#This Row],[Sales Local Currency]],2))</f>
        <v>#REF!</v>
      </c>
      <c r="Q11" s="21"/>
      <c r="V11" s="14"/>
      <c r="X11" t="s">
        <v>10</v>
      </c>
      <c r="Y11" s="18">
        <v>38068.030000000006</v>
      </c>
      <c r="Z11" s="19">
        <v>1620</v>
      </c>
      <c r="AC11" t="s">
        <v>6</v>
      </c>
      <c r="AD11">
        <v>1</v>
      </c>
      <c r="AE11" s="22">
        <v>3.3898305084745765E-4</v>
      </c>
      <c r="AG11" s="21"/>
      <c r="AK11" s="9" t="s">
        <v>48</v>
      </c>
      <c r="AL11" s="18">
        <v>36846.080000000002</v>
      </c>
      <c r="AM11" s="18">
        <v>1910</v>
      </c>
    </row>
    <row r="12" spans="1:47" x14ac:dyDescent="0.25">
      <c r="A12" s="2" t="s">
        <v>15</v>
      </c>
      <c r="B12">
        <v>88112</v>
      </c>
      <c r="C12" s="3">
        <v>43384</v>
      </c>
      <c r="D12">
        <v>8040</v>
      </c>
      <c r="E12">
        <v>116</v>
      </c>
      <c r="F12">
        <v>4</v>
      </c>
      <c r="G12">
        <v>760</v>
      </c>
      <c r="H12">
        <v>4560</v>
      </c>
      <c r="I12" t="e">
        <f>VLOOKUP(A12,#REF!,2,FALSE)</f>
        <v>#REF!</v>
      </c>
      <c r="J12" t="e">
        <f>VLOOKUP(TableTemp[[#This Row],[Customer Code]],#REF!,2,FALSE)</f>
        <v>#REF!</v>
      </c>
      <c r="K12" t="e">
        <f>VLOOKUP(TableTemp[[#This Row],[Article code]],#REF!,2,FALSE)</f>
        <v>#REF!</v>
      </c>
      <c r="L12" t="e">
        <f>VLOOKUP(TableTemp[[#This Row],[Company]],#REF!,3,FALSE)</f>
        <v>#REF!</v>
      </c>
      <c r="M12" s="6" t="e">
        <f>IF(TableTemp[[#This Row],[Currency]]="EUR",ROUND(VLOOKUP(MONTH(TableTemp[[#This Row],[Document Date]]),#REF!,2,FALSE)*TableTemp[[#This Row],[Sales Local Currency]],2),ROUND(TableTemp[[#This Row],[Sales Local Currency]],2))</f>
        <v>#REF!</v>
      </c>
      <c r="Q12" s="21"/>
      <c r="V12" s="14"/>
      <c r="X12" t="s">
        <v>5</v>
      </c>
      <c r="Y12" s="18">
        <v>24532.73</v>
      </c>
      <c r="Z12" s="19">
        <v>1740</v>
      </c>
      <c r="AC12" t="s">
        <v>5</v>
      </c>
      <c r="AD12">
        <v>1</v>
      </c>
      <c r="AE12" s="22">
        <v>5.7471264367816091E-4</v>
      </c>
      <c r="AG12" s="21"/>
      <c r="AK12" s="9" t="s">
        <v>50</v>
      </c>
      <c r="AL12" s="18"/>
      <c r="AM12" s="18"/>
    </row>
    <row r="13" spans="1:47" x14ac:dyDescent="0.25">
      <c r="A13" s="2" t="s">
        <v>15</v>
      </c>
      <c r="B13">
        <v>88112</v>
      </c>
      <c r="C13" s="3">
        <v>43384</v>
      </c>
      <c r="D13">
        <v>8040</v>
      </c>
      <c r="E13">
        <v>111</v>
      </c>
      <c r="G13">
        <v>590</v>
      </c>
      <c r="H13">
        <v>11800</v>
      </c>
      <c r="I13" t="e">
        <f>VLOOKUP(A13,#REF!,2,FALSE)</f>
        <v>#REF!</v>
      </c>
      <c r="J13" t="e">
        <f>VLOOKUP(TableTemp[[#This Row],[Customer Code]],#REF!,2,FALSE)</f>
        <v>#REF!</v>
      </c>
      <c r="K13" t="e">
        <f>VLOOKUP(TableTemp[[#This Row],[Article code]],#REF!,2,FALSE)</f>
        <v>#REF!</v>
      </c>
      <c r="L13" t="e">
        <f>VLOOKUP(TableTemp[[#This Row],[Company]],#REF!,3,FALSE)</f>
        <v>#REF!</v>
      </c>
      <c r="M13" s="6" t="e">
        <f>IF(TableTemp[[#This Row],[Currency]]="EUR",ROUND(VLOOKUP(MONTH(TableTemp[[#This Row],[Document Date]]),#REF!,2,FALSE)*TableTemp[[#This Row],[Sales Local Currency]],2),ROUND(TableTemp[[#This Row],[Sales Local Currency]],2))</f>
        <v>#REF!</v>
      </c>
      <c r="Q13" s="21"/>
      <c r="V13" s="14"/>
      <c r="X13" t="s">
        <v>6</v>
      </c>
      <c r="Y13" s="18">
        <v>17330.36</v>
      </c>
      <c r="Z13" s="19">
        <v>2950</v>
      </c>
      <c r="AC13" t="s">
        <v>37</v>
      </c>
      <c r="AD13">
        <v>16</v>
      </c>
      <c r="AE13" s="22">
        <v>1.2598425196850393E-3</v>
      </c>
      <c r="AG13" s="21"/>
      <c r="AK13" s="10" t="s">
        <v>14</v>
      </c>
      <c r="AL13" s="18">
        <v>42250.810000000005</v>
      </c>
      <c r="AM13" s="18">
        <v>620</v>
      </c>
    </row>
    <row r="14" spans="1:47" x14ac:dyDescent="0.25">
      <c r="A14" s="2" t="s">
        <v>15</v>
      </c>
      <c r="B14">
        <v>88112</v>
      </c>
      <c r="C14" s="3">
        <v>43384</v>
      </c>
      <c r="D14">
        <v>8040</v>
      </c>
      <c r="E14">
        <v>110</v>
      </c>
      <c r="G14">
        <v>530</v>
      </c>
      <c r="H14">
        <v>31800</v>
      </c>
      <c r="I14" t="e">
        <f>VLOOKUP(A14,#REF!,2,FALSE)</f>
        <v>#REF!</v>
      </c>
      <c r="J14" t="e">
        <f>VLOOKUP(TableTemp[[#This Row],[Customer Code]],#REF!,2,FALSE)</f>
        <v>#REF!</v>
      </c>
      <c r="K14" t="e">
        <f>VLOOKUP(TableTemp[[#This Row],[Article code]],#REF!,2,FALSE)</f>
        <v>#REF!</v>
      </c>
      <c r="L14" t="e">
        <f>VLOOKUP(TableTemp[[#This Row],[Company]],#REF!,3,FALSE)</f>
        <v>#REF!</v>
      </c>
      <c r="M14" s="6" t="e">
        <f>IF(TableTemp[[#This Row],[Currency]]="EUR",ROUND(VLOOKUP(MONTH(TableTemp[[#This Row],[Document Date]]),#REF!,2,FALSE)*TableTemp[[#This Row],[Sales Local Currency]],2),ROUND(TableTemp[[#This Row],[Sales Local Currency]],2))</f>
        <v>#REF!</v>
      </c>
      <c r="Q14" s="21"/>
      <c r="V14" s="14"/>
      <c r="X14" t="s">
        <v>4</v>
      </c>
      <c r="Y14" s="18">
        <v>10433.460000000001</v>
      </c>
      <c r="Z14" s="19">
        <v>740</v>
      </c>
      <c r="AG14" s="21"/>
      <c r="AK14" s="10" t="s">
        <v>7</v>
      </c>
      <c r="AL14" s="18">
        <v>26318.63</v>
      </c>
      <c r="AM14" s="18">
        <v>800</v>
      </c>
    </row>
    <row r="15" spans="1:47" x14ac:dyDescent="0.25">
      <c r="A15" s="2" t="s">
        <v>15</v>
      </c>
      <c r="B15">
        <v>88112</v>
      </c>
      <c r="C15" s="3">
        <v>43384</v>
      </c>
      <c r="D15">
        <v>8040</v>
      </c>
      <c r="E15">
        <v>109</v>
      </c>
      <c r="G15">
        <v>260</v>
      </c>
      <c r="H15">
        <v>7280</v>
      </c>
      <c r="I15" t="e">
        <f>VLOOKUP(A15,#REF!,2,FALSE)</f>
        <v>#REF!</v>
      </c>
      <c r="J15" t="e">
        <f>VLOOKUP(TableTemp[[#This Row],[Customer Code]],#REF!,2,FALSE)</f>
        <v>#REF!</v>
      </c>
      <c r="K15" t="e">
        <f>VLOOKUP(TableTemp[[#This Row],[Article code]],#REF!,2,FALSE)</f>
        <v>#REF!</v>
      </c>
      <c r="L15" t="e">
        <f>VLOOKUP(TableTemp[[#This Row],[Company]],#REF!,3,FALSE)</f>
        <v>#REF!</v>
      </c>
      <c r="M15" s="6" t="e">
        <f>IF(TableTemp[[#This Row],[Currency]]="EUR",ROUND(VLOOKUP(MONTH(TableTemp[[#This Row],[Document Date]]),#REF!,2,FALSE)*TableTemp[[#This Row],[Sales Local Currency]],2),ROUND(TableTemp[[#This Row],[Sales Local Currency]],2))</f>
        <v>#REF!</v>
      </c>
      <c r="Q15" s="21"/>
      <c r="V15" s="14"/>
      <c r="X15" t="s">
        <v>3</v>
      </c>
      <c r="Y15" s="18">
        <v>8459.5600000000013</v>
      </c>
      <c r="Z15" s="19">
        <v>720</v>
      </c>
      <c r="AG15" s="21"/>
      <c r="AK15" s="10" t="s">
        <v>13</v>
      </c>
      <c r="AL15" s="18">
        <v>26224.639999999999</v>
      </c>
      <c r="AM15" s="18">
        <v>360</v>
      </c>
    </row>
    <row r="16" spans="1:47" x14ac:dyDescent="0.25">
      <c r="A16" s="2" t="s">
        <v>15</v>
      </c>
      <c r="B16">
        <v>85442</v>
      </c>
      <c r="C16" s="3">
        <v>43388</v>
      </c>
      <c r="D16">
        <v>8050</v>
      </c>
      <c r="E16">
        <v>107</v>
      </c>
      <c r="G16">
        <v>270</v>
      </c>
      <c r="H16">
        <v>1350</v>
      </c>
      <c r="I16" t="e">
        <f>VLOOKUP(A16,#REF!,2,FALSE)</f>
        <v>#REF!</v>
      </c>
      <c r="J16" t="e">
        <f>VLOOKUP(TableTemp[[#This Row],[Customer Code]],#REF!,2,FALSE)</f>
        <v>#REF!</v>
      </c>
      <c r="K16" t="e">
        <f>VLOOKUP(TableTemp[[#This Row],[Article code]],#REF!,2,FALSE)</f>
        <v>#REF!</v>
      </c>
      <c r="L16" t="e">
        <f>VLOOKUP(TableTemp[[#This Row],[Company]],#REF!,3,FALSE)</f>
        <v>#REF!</v>
      </c>
      <c r="M16" s="6" t="e">
        <f>IF(TableTemp[[#This Row],[Currency]]="EUR",ROUND(VLOOKUP(MONTH(TableTemp[[#This Row],[Document Date]]),#REF!,2,FALSE)*TableTemp[[#This Row],[Sales Local Currency]],2),ROUND(TableTemp[[#This Row],[Sales Local Currency]],2))</f>
        <v>#REF!</v>
      </c>
      <c r="Q16" s="21"/>
      <c r="V16" s="14"/>
      <c r="X16" t="s">
        <v>11</v>
      </c>
      <c r="Y16" s="18">
        <v>8459.56</v>
      </c>
      <c r="Z16" s="19">
        <v>1200</v>
      </c>
      <c r="AG16" s="21"/>
      <c r="AK16" s="10" t="s">
        <v>5</v>
      </c>
      <c r="AL16" s="18">
        <v>12266.369999999999</v>
      </c>
      <c r="AM16" s="18">
        <v>870</v>
      </c>
    </row>
    <row r="17" spans="1:39" x14ac:dyDescent="0.25">
      <c r="A17" s="2" t="s">
        <v>15</v>
      </c>
      <c r="B17">
        <v>85442</v>
      </c>
      <c r="C17" s="3">
        <v>43388</v>
      </c>
      <c r="D17">
        <v>8050</v>
      </c>
      <c r="E17">
        <v>103</v>
      </c>
      <c r="G17">
        <v>630</v>
      </c>
      <c r="H17">
        <v>7560</v>
      </c>
      <c r="I17" t="e">
        <f>VLOOKUP(A17,#REF!,2,FALSE)</f>
        <v>#REF!</v>
      </c>
      <c r="J17" t="e">
        <f>VLOOKUP(TableTemp[[#This Row],[Customer Code]],#REF!,2,FALSE)</f>
        <v>#REF!</v>
      </c>
      <c r="K17" t="e">
        <f>VLOOKUP(TableTemp[[#This Row],[Article code]],#REF!,2,FALSE)</f>
        <v>#REF!</v>
      </c>
      <c r="L17" t="e">
        <f>VLOOKUP(TableTemp[[#This Row],[Company]],#REF!,3,FALSE)</f>
        <v>#REF!</v>
      </c>
      <c r="M17" s="6" t="e">
        <f>IF(TableTemp[[#This Row],[Currency]]="EUR",ROUND(VLOOKUP(MONTH(TableTemp[[#This Row],[Document Date]]),#REF!,2,FALSE)*TableTemp[[#This Row],[Sales Local Currency]],2),ROUND(TableTemp[[#This Row],[Sales Local Currency]],2))</f>
        <v>#REF!</v>
      </c>
      <c r="Q17" s="21"/>
      <c r="V17" s="14"/>
      <c r="X17" t="s">
        <v>12</v>
      </c>
      <c r="Y17" s="18">
        <v>7190.6200000000008</v>
      </c>
      <c r="Z17" s="19">
        <v>1020</v>
      </c>
      <c r="AG17" s="21"/>
      <c r="AK17" s="10" t="s">
        <v>4</v>
      </c>
      <c r="AL17" s="18">
        <v>8882.5400000000009</v>
      </c>
      <c r="AM17" s="18">
        <v>630</v>
      </c>
    </row>
    <row r="18" spans="1:39" x14ac:dyDescent="0.25">
      <c r="A18" s="2" t="s">
        <v>15</v>
      </c>
      <c r="B18">
        <v>85442</v>
      </c>
      <c r="C18" s="3">
        <v>43388</v>
      </c>
      <c r="D18">
        <v>8050</v>
      </c>
      <c r="E18">
        <v>104</v>
      </c>
      <c r="G18">
        <v>440</v>
      </c>
      <c r="H18">
        <v>5280</v>
      </c>
      <c r="I18" t="e">
        <f>VLOOKUP(A18,#REF!,2,FALSE)</f>
        <v>#REF!</v>
      </c>
      <c r="J18" t="e">
        <f>VLOOKUP(TableTemp[[#This Row],[Customer Code]],#REF!,2,FALSE)</f>
        <v>#REF!</v>
      </c>
      <c r="K18" t="e">
        <f>VLOOKUP(TableTemp[[#This Row],[Article code]],#REF!,2,FALSE)</f>
        <v>#REF!</v>
      </c>
      <c r="L18" t="e">
        <f>VLOOKUP(TableTemp[[#This Row],[Company]],#REF!,3,FALSE)</f>
        <v>#REF!</v>
      </c>
      <c r="M18" s="6" t="e">
        <f>IF(TableTemp[[#This Row],[Currency]]="EUR",ROUND(VLOOKUP(MONTH(TableTemp[[#This Row],[Document Date]]),#REF!,2,FALSE)*TableTemp[[#This Row],[Sales Local Currency]],2),ROUND(TableTemp[[#This Row],[Sales Local Currency]],2))</f>
        <v>#REF!</v>
      </c>
      <c r="Q18" s="21"/>
      <c r="V18" s="14"/>
      <c r="X18" t="s">
        <v>37</v>
      </c>
      <c r="Y18" s="18">
        <v>648742.61</v>
      </c>
      <c r="Z18" s="19">
        <v>19350</v>
      </c>
      <c r="AG18" s="21"/>
      <c r="AK18" s="10" t="s">
        <v>11</v>
      </c>
      <c r="AL18" s="18">
        <v>5710.2</v>
      </c>
      <c r="AM18" s="18">
        <v>810</v>
      </c>
    </row>
    <row r="19" spans="1:39" x14ac:dyDescent="0.25">
      <c r="A19" s="2" t="s">
        <v>15</v>
      </c>
      <c r="B19">
        <v>85442</v>
      </c>
      <c r="C19" s="3">
        <v>43388</v>
      </c>
      <c r="D19">
        <v>8050</v>
      </c>
      <c r="E19">
        <v>120</v>
      </c>
      <c r="G19">
        <v>500</v>
      </c>
      <c r="H19">
        <v>29000</v>
      </c>
      <c r="I19" t="e">
        <f>VLOOKUP(A19,#REF!,2,FALSE)</f>
        <v>#REF!</v>
      </c>
      <c r="J19" t="e">
        <f>VLOOKUP(TableTemp[[#This Row],[Customer Code]],#REF!,2,FALSE)</f>
        <v>#REF!</v>
      </c>
      <c r="K19" t="e">
        <f>VLOOKUP(TableTemp[[#This Row],[Article code]],#REF!,2,FALSE)</f>
        <v>#REF!</v>
      </c>
      <c r="L19" t="e">
        <f>VLOOKUP(TableTemp[[#This Row],[Company]],#REF!,3,FALSE)</f>
        <v>#REF!</v>
      </c>
      <c r="M19" s="6" t="e">
        <f>IF(TableTemp[[#This Row],[Currency]]="EUR",ROUND(VLOOKUP(MONTH(TableTemp[[#This Row],[Document Date]]),#REF!,2,FALSE)*TableTemp[[#This Row],[Sales Local Currency]],2),ROUND(TableTemp[[#This Row],[Sales Local Currency]],2))</f>
        <v>#REF!</v>
      </c>
      <c r="Q19" s="21"/>
      <c r="V19" s="14"/>
      <c r="AG19" s="21"/>
      <c r="AK19" s="10" t="s">
        <v>6</v>
      </c>
      <c r="AL19" s="18">
        <v>5639.71</v>
      </c>
      <c r="AM19" s="18">
        <v>960</v>
      </c>
    </row>
    <row r="20" spans="1:39" x14ac:dyDescent="0.25">
      <c r="A20" s="2" t="s">
        <v>15</v>
      </c>
      <c r="B20">
        <v>85442</v>
      </c>
      <c r="C20" s="3">
        <v>43388</v>
      </c>
      <c r="D20">
        <v>8050</v>
      </c>
      <c r="E20">
        <v>119</v>
      </c>
      <c r="F20">
        <v>1</v>
      </c>
      <c r="G20">
        <v>360</v>
      </c>
      <c r="H20">
        <v>22320</v>
      </c>
      <c r="I20" t="e">
        <f>VLOOKUP(A20,#REF!,2,FALSE)</f>
        <v>#REF!</v>
      </c>
      <c r="J20" t="e">
        <f>VLOOKUP(TableTemp[[#This Row],[Customer Code]],#REF!,2,FALSE)</f>
        <v>#REF!</v>
      </c>
      <c r="K20" t="e">
        <f>VLOOKUP(TableTemp[[#This Row],[Article code]],#REF!,2,FALSE)</f>
        <v>#REF!</v>
      </c>
      <c r="L20" t="e">
        <f>VLOOKUP(TableTemp[[#This Row],[Company]],#REF!,3,FALSE)</f>
        <v>#REF!</v>
      </c>
      <c r="M20" s="6" t="e">
        <f>IF(TableTemp[[#This Row],[Currency]]="EUR",ROUND(VLOOKUP(MONTH(TableTemp[[#This Row],[Document Date]]),#REF!,2,FALSE)*TableTemp[[#This Row],[Sales Local Currency]],2),ROUND(TableTemp[[#This Row],[Sales Local Currency]],2))</f>
        <v>#REF!</v>
      </c>
      <c r="Q20" s="21"/>
      <c r="V20" s="14"/>
      <c r="AG20" s="21"/>
      <c r="AK20" s="10" t="s">
        <v>3</v>
      </c>
      <c r="AL20" s="18">
        <v>1409.93</v>
      </c>
      <c r="AM20" s="18">
        <v>120</v>
      </c>
    </row>
    <row r="21" spans="1:39" x14ac:dyDescent="0.25">
      <c r="A21" s="2" t="s">
        <v>15</v>
      </c>
      <c r="B21">
        <v>85442</v>
      </c>
      <c r="C21" s="3">
        <v>43388</v>
      </c>
      <c r="D21">
        <v>8050</v>
      </c>
      <c r="E21">
        <v>115</v>
      </c>
      <c r="G21">
        <v>810</v>
      </c>
      <c r="H21">
        <v>4860</v>
      </c>
      <c r="I21" t="e">
        <f>VLOOKUP(A21,#REF!,2,FALSE)</f>
        <v>#REF!</v>
      </c>
      <c r="J21" t="e">
        <f>VLOOKUP(TableTemp[[#This Row],[Customer Code]],#REF!,2,FALSE)</f>
        <v>#REF!</v>
      </c>
      <c r="K21" t="e">
        <f>VLOOKUP(TableTemp[[#This Row],[Article code]],#REF!,2,FALSE)</f>
        <v>#REF!</v>
      </c>
      <c r="L21" t="e">
        <f>VLOOKUP(TableTemp[[#This Row],[Company]],#REF!,3,FALSE)</f>
        <v>#REF!</v>
      </c>
      <c r="M21" s="6" t="e">
        <f>IF(TableTemp[[#This Row],[Currency]]="EUR",ROUND(VLOOKUP(MONTH(TableTemp[[#This Row],[Document Date]]),#REF!,2,FALSE)*TableTemp[[#This Row],[Sales Local Currency]],2),ROUND(TableTemp[[#This Row],[Sales Local Currency]],2))</f>
        <v>#REF!</v>
      </c>
      <c r="Q21" s="21"/>
      <c r="V21" s="14"/>
      <c r="AG21" s="21"/>
      <c r="AK21" s="9" t="s">
        <v>52</v>
      </c>
      <c r="AL21" s="18">
        <v>128702.82999999999</v>
      </c>
      <c r="AM21" s="18">
        <v>5170</v>
      </c>
    </row>
    <row r="22" spans="1:39" x14ac:dyDescent="0.25">
      <c r="A22" s="2" t="s">
        <v>15</v>
      </c>
      <c r="B22">
        <v>85442</v>
      </c>
      <c r="C22" s="3">
        <v>43388</v>
      </c>
      <c r="D22">
        <v>8050</v>
      </c>
      <c r="E22">
        <v>108</v>
      </c>
      <c r="G22">
        <v>800</v>
      </c>
      <c r="H22">
        <v>22400</v>
      </c>
      <c r="I22" t="e">
        <f>VLOOKUP(A22,#REF!,2,FALSE)</f>
        <v>#REF!</v>
      </c>
      <c r="J22" t="e">
        <f>VLOOKUP(TableTemp[[#This Row],[Customer Code]],#REF!,2,FALSE)</f>
        <v>#REF!</v>
      </c>
      <c r="K22" t="e">
        <f>VLOOKUP(TableTemp[[#This Row],[Article code]],#REF!,2,FALSE)</f>
        <v>#REF!</v>
      </c>
      <c r="L22" t="e">
        <f>VLOOKUP(TableTemp[[#This Row],[Company]],#REF!,3,FALSE)</f>
        <v>#REF!</v>
      </c>
      <c r="M22" s="6" t="e">
        <f>IF(TableTemp[[#This Row],[Currency]]="EUR",ROUND(VLOOKUP(MONTH(TableTemp[[#This Row],[Document Date]]),#REF!,2,FALSE)*TableTemp[[#This Row],[Sales Local Currency]],2),ROUND(TableTemp[[#This Row],[Sales Local Currency]],2))</f>
        <v>#REF!</v>
      </c>
      <c r="Q22" s="21"/>
      <c r="V22" s="14"/>
      <c r="AG22" s="21"/>
      <c r="AK22" s="9" t="s">
        <v>49</v>
      </c>
      <c r="AL22" s="18"/>
      <c r="AM22" s="18"/>
    </row>
    <row r="23" spans="1:39" x14ac:dyDescent="0.25">
      <c r="A23" s="2" t="s">
        <v>15</v>
      </c>
      <c r="B23">
        <v>88588</v>
      </c>
      <c r="C23" s="3">
        <v>43388</v>
      </c>
      <c r="D23">
        <v>8040</v>
      </c>
      <c r="E23">
        <v>120</v>
      </c>
      <c r="G23">
        <v>470</v>
      </c>
      <c r="H23">
        <v>27260</v>
      </c>
      <c r="I23" t="e">
        <f>VLOOKUP(A23,#REF!,2,FALSE)</f>
        <v>#REF!</v>
      </c>
      <c r="J23" t="e">
        <f>VLOOKUP(TableTemp[[#This Row],[Customer Code]],#REF!,2,FALSE)</f>
        <v>#REF!</v>
      </c>
      <c r="K23" t="e">
        <f>VLOOKUP(TableTemp[[#This Row],[Article code]],#REF!,2,FALSE)</f>
        <v>#REF!</v>
      </c>
      <c r="L23" t="e">
        <f>VLOOKUP(TableTemp[[#This Row],[Company]],#REF!,3,FALSE)</f>
        <v>#REF!</v>
      </c>
      <c r="M23" s="6" t="e">
        <f>IF(TableTemp[[#This Row],[Currency]]="EUR",ROUND(VLOOKUP(MONTH(TableTemp[[#This Row],[Document Date]]),#REF!,2,FALSE)*TableTemp[[#This Row],[Sales Local Currency]],2),ROUND(TableTemp[[#This Row],[Sales Local Currency]],2))</f>
        <v>#REF!</v>
      </c>
      <c r="Q23" s="21"/>
      <c r="V23" s="14"/>
      <c r="AG23" s="21"/>
      <c r="AK23" s="10" t="s">
        <v>9</v>
      </c>
      <c r="AL23" s="18">
        <v>119138.81</v>
      </c>
      <c r="AM23" s="18">
        <v>1690</v>
      </c>
    </row>
    <row r="24" spans="1:39" x14ac:dyDescent="0.25">
      <c r="A24" s="2" t="s">
        <v>15</v>
      </c>
      <c r="B24">
        <v>88588</v>
      </c>
      <c r="C24" s="3">
        <v>43388</v>
      </c>
      <c r="D24">
        <v>8040</v>
      </c>
      <c r="E24">
        <v>119</v>
      </c>
      <c r="G24">
        <v>860</v>
      </c>
      <c r="H24">
        <v>53320</v>
      </c>
      <c r="I24" t="e">
        <f>VLOOKUP(A24,#REF!,2,FALSE)</f>
        <v>#REF!</v>
      </c>
      <c r="J24" t="e">
        <f>VLOOKUP(TableTemp[[#This Row],[Customer Code]],#REF!,2,FALSE)</f>
        <v>#REF!</v>
      </c>
      <c r="K24" t="e">
        <f>VLOOKUP(TableTemp[[#This Row],[Article code]],#REF!,2,FALSE)</f>
        <v>#REF!</v>
      </c>
      <c r="L24" t="e">
        <f>VLOOKUP(TableTemp[[#This Row],[Company]],#REF!,3,FALSE)</f>
        <v>#REF!</v>
      </c>
      <c r="M24" s="6" t="e">
        <f>IF(TableTemp[[#This Row],[Currency]]="EUR",ROUND(VLOOKUP(MONTH(TableTemp[[#This Row],[Document Date]]),#REF!,2,FALSE)*TableTemp[[#This Row],[Sales Local Currency]],2),ROUND(TableTemp[[#This Row],[Sales Local Currency]],2))</f>
        <v>#REF!</v>
      </c>
      <c r="Q24" s="21"/>
      <c r="V24" s="14"/>
      <c r="AG24" s="21"/>
      <c r="AK24" s="10" t="s">
        <v>13</v>
      </c>
      <c r="AL24" s="18">
        <v>108540.87</v>
      </c>
      <c r="AM24" s="18">
        <v>1490</v>
      </c>
    </row>
    <row r="25" spans="1:39" x14ac:dyDescent="0.25">
      <c r="A25" s="2" t="s">
        <v>15</v>
      </c>
      <c r="B25">
        <v>88588</v>
      </c>
      <c r="C25" s="3">
        <v>43388</v>
      </c>
      <c r="D25">
        <v>8040</v>
      </c>
      <c r="E25">
        <v>110</v>
      </c>
      <c r="G25">
        <v>180</v>
      </c>
      <c r="H25">
        <v>10800</v>
      </c>
      <c r="I25" t="e">
        <f>VLOOKUP(A25,#REF!,2,FALSE)</f>
        <v>#REF!</v>
      </c>
      <c r="J25" t="e">
        <f>VLOOKUP(TableTemp[[#This Row],[Customer Code]],#REF!,2,FALSE)</f>
        <v>#REF!</v>
      </c>
      <c r="K25" t="e">
        <f>VLOOKUP(TableTemp[[#This Row],[Article code]],#REF!,2,FALSE)</f>
        <v>#REF!</v>
      </c>
      <c r="L25" t="e">
        <f>VLOOKUP(TableTemp[[#This Row],[Company]],#REF!,3,FALSE)</f>
        <v>#REF!</v>
      </c>
      <c r="M25" s="6" t="e">
        <f>IF(TableTemp[[#This Row],[Currency]]="EUR",ROUND(VLOOKUP(MONTH(TableTemp[[#This Row],[Document Date]]),#REF!,2,FALSE)*TableTemp[[#This Row],[Sales Local Currency]],2),ROUND(TableTemp[[#This Row],[Sales Local Currency]],2))</f>
        <v>#REF!</v>
      </c>
      <c r="Q25" s="21"/>
      <c r="V25" s="14"/>
      <c r="AG25" s="21"/>
      <c r="AK25" s="10" t="s">
        <v>14</v>
      </c>
      <c r="AL25" s="18">
        <v>62694.75</v>
      </c>
      <c r="AM25" s="18">
        <v>920</v>
      </c>
    </row>
    <row r="26" spans="1:39" x14ac:dyDescent="0.25">
      <c r="A26" s="2" t="s">
        <v>15</v>
      </c>
      <c r="B26">
        <v>88588</v>
      </c>
      <c r="C26" s="3">
        <v>43388</v>
      </c>
      <c r="D26">
        <v>8040</v>
      </c>
      <c r="E26">
        <v>111</v>
      </c>
      <c r="G26">
        <v>750</v>
      </c>
      <c r="H26">
        <v>15000</v>
      </c>
      <c r="I26" t="e">
        <f>VLOOKUP(A26,#REF!,2,FALSE)</f>
        <v>#REF!</v>
      </c>
      <c r="J26" t="e">
        <f>VLOOKUP(TableTemp[[#This Row],[Customer Code]],#REF!,2,FALSE)</f>
        <v>#REF!</v>
      </c>
      <c r="K26" t="e">
        <f>VLOOKUP(TableTemp[[#This Row],[Article code]],#REF!,2,FALSE)</f>
        <v>#REF!</v>
      </c>
      <c r="L26" t="e">
        <f>VLOOKUP(TableTemp[[#This Row],[Company]],#REF!,3,FALSE)</f>
        <v>#REF!</v>
      </c>
      <c r="M26" s="6" t="e">
        <f>IF(TableTemp[[#This Row],[Currency]]="EUR",ROUND(VLOOKUP(MONTH(TableTemp[[#This Row],[Document Date]]),#REF!,2,FALSE)*TableTemp[[#This Row],[Sales Local Currency]],2),ROUND(TableTemp[[#This Row],[Sales Local Currency]],2))</f>
        <v>#REF!</v>
      </c>
      <c r="Q26" s="21"/>
      <c r="V26" s="14"/>
      <c r="AG26" s="21"/>
      <c r="AK26" s="10" t="s">
        <v>10</v>
      </c>
      <c r="AL26" s="18">
        <v>31488.370000000003</v>
      </c>
      <c r="AM26" s="18">
        <v>1340</v>
      </c>
    </row>
    <row r="27" spans="1:39" x14ac:dyDescent="0.25">
      <c r="A27" s="2" t="s">
        <v>15</v>
      </c>
      <c r="B27">
        <v>88588</v>
      </c>
      <c r="C27" s="3">
        <v>43388</v>
      </c>
      <c r="D27">
        <v>8040</v>
      </c>
      <c r="E27">
        <v>109</v>
      </c>
      <c r="G27">
        <v>560</v>
      </c>
      <c r="H27">
        <v>15680</v>
      </c>
      <c r="I27" t="e">
        <f>VLOOKUP(A27,#REF!,2,FALSE)</f>
        <v>#REF!</v>
      </c>
      <c r="J27" t="e">
        <f>VLOOKUP(TableTemp[[#This Row],[Customer Code]],#REF!,2,FALSE)</f>
        <v>#REF!</v>
      </c>
      <c r="K27" t="e">
        <f>VLOOKUP(TableTemp[[#This Row],[Article code]],#REF!,2,FALSE)</f>
        <v>#REF!</v>
      </c>
      <c r="L27" t="e">
        <f>VLOOKUP(TableTemp[[#This Row],[Company]],#REF!,3,FALSE)</f>
        <v>#REF!</v>
      </c>
      <c r="M27" s="6" t="e">
        <f>IF(TableTemp[[#This Row],[Currency]]="EUR",ROUND(VLOOKUP(MONTH(TableTemp[[#This Row],[Document Date]]),#REF!,2,FALSE)*TableTemp[[#This Row],[Sales Local Currency]],2),ROUND(TableTemp[[#This Row],[Sales Local Currency]],2))</f>
        <v>#REF!</v>
      </c>
      <c r="Q27" s="21"/>
      <c r="V27" s="14"/>
      <c r="AG27" s="21"/>
      <c r="AK27" s="10" t="s">
        <v>8</v>
      </c>
      <c r="AL27" s="18">
        <v>26976.6</v>
      </c>
      <c r="AM27" s="18">
        <v>820</v>
      </c>
    </row>
    <row r="28" spans="1:39" x14ac:dyDescent="0.25">
      <c r="A28" s="2" t="s">
        <v>15</v>
      </c>
      <c r="B28">
        <v>88588</v>
      </c>
      <c r="C28" s="3">
        <v>43388</v>
      </c>
      <c r="D28">
        <v>8040</v>
      </c>
      <c r="E28">
        <v>105</v>
      </c>
      <c r="G28">
        <v>130</v>
      </c>
      <c r="H28">
        <v>1300</v>
      </c>
      <c r="I28" t="e">
        <f>VLOOKUP(A28,#REF!,2,FALSE)</f>
        <v>#REF!</v>
      </c>
      <c r="J28" t="e">
        <f>VLOOKUP(TableTemp[[#This Row],[Customer Code]],#REF!,2,FALSE)</f>
        <v>#REF!</v>
      </c>
      <c r="K28" t="e">
        <f>VLOOKUP(TableTemp[[#This Row],[Article code]],#REF!,2,FALSE)</f>
        <v>#REF!</v>
      </c>
      <c r="L28" t="e">
        <f>VLOOKUP(TableTemp[[#This Row],[Company]],#REF!,3,FALSE)</f>
        <v>#REF!</v>
      </c>
      <c r="M28" s="6" t="e">
        <f>IF(TableTemp[[#This Row],[Currency]]="EUR",ROUND(VLOOKUP(MONTH(TableTemp[[#This Row],[Document Date]]),#REF!,2,FALSE)*TableTemp[[#This Row],[Sales Local Currency]],2),ROUND(TableTemp[[#This Row],[Sales Local Currency]],2))</f>
        <v>#REF!</v>
      </c>
      <c r="Q28" s="21"/>
      <c r="V28" s="14"/>
      <c r="AG28" s="21"/>
      <c r="AK28" s="10" t="s">
        <v>5</v>
      </c>
      <c r="AL28" s="18">
        <v>12266.36</v>
      </c>
      <c r="AM28" s="18">
        <v>870</v>
      </c>
    </row>
    <row r="29" spans="1:39" x14ac:dyDescent="0.25">
      <c r="A29" s="2" t="s">
        <v>15</v>
      </c>
      <c r="B29">
        <v>88588</v>
      </c>
      <c r="C29" s="3">
        <v>43388</v>
      </c>
      <c r="D29">
        <v>8040</v>
      </c>
      <c r="E29">
        <v>103</v>
      </c>
      <c r="G29">
        <v>110</v>
      </c>
      <c r="H29">
        <v>1320</v>
      </c>
      <c r="I29" t="e">
        <f>VLOOKUP(A29,#REF!,2,FALSE)</f>
        <v>#REF!</v>
      </c>
      <c r="J29" t="e">
        <f>VLOOKUP(TableTemp[[#This Row],[Customer Code]],#REF!,2,FALSE)</f>
        <v>#REF!</v>
      </c>
      <c r="K29" t="e">
        <f>VLOOKUP(TableTemp[[#This Row],[Article code]],#REF!,2,FALSE)</f>
        <v>#REF!</v>
      </c>
      <c r="L29" t="e">
        <f>VLOOKUP(TableTemp[[#This Row],[Company]],#REF!,3,FALSE)</f>
        <v>#REF!</v>
      </c>
      <c r="M29" s="6" t="e">
        <f>IF(TableTemp[[#This Row],[Currency]]="EUR",ROUND(VLOOKUP(MONTH(TableTemp[[#This Row],[Document Date]]),#REF!,2,FALSE)*TableTemp[[#This Row],[Sales Local Currency]],2),ROUND(TableTemp[[#This Row],[Sales Local Currency]],2))</f>
        <v>#REF!</v>
      </c>
      <c r="Q29" s="21"/>
      <c r="V29" s="14"/>
      <c r="AG29" s="21"/>
      <c r="AK29" s="10" t="s">
        <v>6</v>
      </c>
      <c r="AL29" s="18">
        <v>8988.2900000000009</v>
      </c>
      <c r="AM29" s="18">
        <v>1530</v>
      </c>
    </row>
    <row r="30" spans="1:39" x14ac:dyDescent="0.25">
      <c r="A30" s="2" t="s">
        <v>15</v>
      </c>
      <c r="B30">
        <v>88544</v>
      </c>
      <c r="C30" s="3">
        <v>43395</v>
      </c>
      <c r="D30">
        <v>8040</v>
      </c>
      <c r="E30">
        <v>107</v>
      </c>
      <c r="G30">
        <v>770</v>
      </c>
      <c r="H30">
        <v>3850</v>
      </c>
      <c r="I30" t="e">
        <f>VLOOKUP(A30,#REF!,2,FALSE)</f>
        <v>#REF!</v>
      </c>
      <c r="J30" t="e">
        <f>VLOOKUP(TableTemp[[#This Row],[Customer Code]],#REF!,2,FALSE)</f>
        <v>#REF!</v>
      </c>
      <c r="K30" t="e">
        <f>VLOOKUP(TableTemp[[#This Row],[Article code]],#REF!,2,FALSE)</f>
        <v>#REF!</v>
      </c>
      <c r="L30" t="e">
        <f>VLOOKUP(TableTemp[[#This Row],[Company]],#REF!,3,FALSE)</f>
        <v>#REF!</v>
      </c>
      <c r="M30" s="6" t="e">
        <f>IF(TableTemp[[#This Row],[Currency]]="EUR",ROUND(VLOOKUP(MONTH(TableTemp[[#This Row],[Document Date]]),#REF!,2,FALSE)*TableTemp[[#This Row],[Sales Local Currency]],2),ROUND(TableTemp[[#This Row],[Sales Local Currency]],2))</f>
        <v>#REF!</v>
      </c>
      <c r="Q30" s="21"/>
      <c r="V30" s="14"/>
      <c r="AG30" s="21"/>
      <c r="AK30" s="10" t="s">
        <v>12</v>
      </c>
      <c r="AL30" s="18">
        <v>5357.72</v>
      </c>
      <c r="AM30" s="18">
        <v>760</v>
      </c>
    </row>
    <row r="31" spans="1:39" x14ac:dyDescent="0.25">
      <c r="A31" s="2" t="s">
        <v>15</v>
      </c>
      <c r="B31">
        <v>88544</v>
      </c>
      <c r="C31" s="3">
        <v>43395</v>
      </c>
      <c r="D31">
        <v>8040</v>
      </c>
      <c r="E31">
        <v>120</v>
      </c>
      <c r="G31">
        <v>300</v>
      </c>
      <c r="H31">
        <v>17400</v>
      </c>
      <c r="I31" t="e">
        <f>VLOOKUP(A31,#REF!,2,FALSE)</f>
        <v>#REF!</v>
      </c>
      <c r="J31" t="e">
        <f>VLOOKUP(TableTemp[[#This Row],[Customer Code]],#REF!,2,FALSE)</f>
        <v>#REF!</v>
      </c>
      <c r="K31" t="e">
        <f>VLOOKUP(TableTemp[[#This Row],[Article code]],#REF!,2,FALSE)</f>
        <v>#REF!</v>
      </c>
      <c r="L31" t="e">
        <f>VLOOKUP(TableTemp[[#This Row],[Company]],#REF!,3,FALSE)</f>
        <v>#REF!</v>
      </c>
      <c r="M31" s="6" t="e">
        <f>IF(TableTemp[[#This Row],[Currency]]="EUR",ROUND(VLOOKUP(MONTH(TableTemp[[#This Row],[Document Date]]),#REF!,2,FALSE)*TableTemp[[#This Row],[Sales Local Currency]],2),ROUND(TableTemp[[#This Row],[Sales Local Currency]],2))</f>
        <v>#REF!</v>
      </c>
      <c r="Q31" s="21"/>
      <c r="V31" s="14"/>
      <c r="AG31" s="21"/>
      <c r="AK31" s="10" t="s">
        <v>4</v>
      </c>
      <c r="AL31" s="18">
        <v>1550.92</v>
      </c>
      <c r="AM31" s="18">
        <v>110</v>
      </c>
    </row>
    <row r="32" spans="1:39" x14ac:dyDescent="0.25">
      <c r="A32" s="2" t="s">
        <v>15</v>
      </c>
      <c r="B32">
        <v>88666</v>
      </c>
      <c r="C32" s="3">
        <v>43399</v>
      </c>
      <c r="D32">
        <v>8030</v>
      </c>
      <c r="E32">
        <v>119</v>
      </c>
      <c r="G32">
        <v>330</v>
      </c>
      <c r="H32">
        <v>20460</v>
      </c>
      <c r="I32" t="e">
        <f>VLOOKUP(A32,#REF!,2,FALSE)</f>
        <v>#REF!</v>
      </c>
      <c r="J32" t="e">
        <f>VLOOKUP(TableTemp[[#This Row],[Customer Code]],#REF!,2,FALSE)</f>
        <v>#REF!</v>
      </c>
      <c r="K32" t="e">
        <f>VLOOKUP(TableTemp[[#This Row],[Article code]],#REF!,2,FALSE)</f>
        <v>#REF!</v>
      </c>
      <c r="L32" t="e">
        <f>VLOOKUP(TableTemp[[#This Row],[Company]],#REF!,3,FALSE)</f>
        <v>#REF!</v>
      </c>
      <c r="M32" s="6" t="e">
        <f>IF(TableTemp[[#This Row],[Currency]]="EUR",ROUND(VLOOKUP(MONTH(TableTemp[[#This Row],[Document Date]]),#REF!,2,FALSE)*TableTemp[[#This Row],[Sales Local Currency]],2),ROUND(TableTemp[[#This Row],[Sales Local Currency]],2))</f>
        <v>#REF!</v>
      </c>
      <c r="Q32" s="21"/>
      <c r="V32" s="14"/>
      <c r="AG32" s="21"/>
      <c r="AK32" s="10" t="s">
        <v>3</v>
      </c>
      <c r="AL32" s="18">
        <v>1527.42</v>
      </c>
      <c r="AM32" s="18">
        <v>130</v>
      </c>
    </row>
    <row r="33" spans="1:39" x14ac:dyDescent="0.25">
      <c r="A33" s="2" t="s">
        <v>15</v>
      </c>
      <c r="B33">
        <v>88666</v>
      </c>
      <c r="C33" s="3">
        <v>43399</v>
      </c>
      <c r="D33">
        <v>8030</v>
      </c>
      <c r="E33">
        <v>107</v>
      </c>
      <c r="G33">
        <v>460</v>
      </c>
      <c r="H33">
        <v>2300</v>
      </c>
      <c r="I33" t="e">
        <f>VLOOKUP(A33,#REF!,2,FALSE)</f>
        <v>#REF!</v>
      </c>
      <c r="J33" t="e">
        <f>VLOOKUP(TableTemp[[#This Row],[Customer Code]],#REF!,2,FALSE)</f>
        <v>#REF!</v>
      </c>
      <c r="K33" t="e">
        <f>VLOOKUP(TableTemp[[#This Row],[Article code]],#REF!,2,FALSE)</f>
        <v>#REF!</v>
      </c>
      <c r="L33" t="e">
        <f>VLOOKUP(TableTemp[[#This Row],[Company]],#REF!,3,FALSE)</f>
        <v>#REF!</v>
      </c>
      <c r="M33" s="6" t="e">
        <f>IF(TableTemp[[#This Row],[Currency]]="EUR",ROUND(VLOOKUP(MONTH(TableTemp[[#This Row],[Document Date]]),#REF!,2,FALSE)*TableTemp[[#This Row],[Sales Local Currency]],2),ROUND(TableTemp[[#This Row],[Sales Local Currency]],2))</f>
        <v>#REF!</v>
      </c>
      <c r="Q33" s="21"/>
      <c r="V33" s="14"/>
      <c r="AG33" s="21"/>
      <c r="AK33" s="9" t="s">
        <v>53</v>
      </c>
      <c r="AL33" s="18">
        <v>378530.10999999993</v>
      </c>
      <c r="AM33" s="18">
        <v>9660</v>
      </c>
    </row>
    <row r="34" spans="1:39" x14ac:dyDescent="0.25">
      <c r="A34" s="2" t="s">
        <v>15</v>
      </c>
      <c r="B34">
        <v>88666</v>
      </c>
      <c r="C34" s="3">
        <v>43399</v>
      </c>
      <c r="D34">
        <v>8030</v>
      </c>
      <c r="E34">
        <v>105</v>
      </c>
      <c r="F34">
        <v>1</v>
      </c>
      <c r="G34">
        <v>470</v>
      </c>
      <c r="H34">
        <v>4700</v>
      </c>
      <c r="I34" t="e">
        <f>VLOOKUP(A34,#REF!,2,FALSE)</f>
        <v>#REF!</v>
      </c>
      <c r="J34" t="e">
        <f>VLOOKUP(TableTemp[[#This Row],[Customer Code]],#REF!,2,FALSE)</f>
        <v>#REF!</v>
      </c>
      <c r="K34" t="e">
        <f>VLOOKUP(TableTemp[[#This Row],[Article code]],#REF!,2,FALSE)</f>
        <v>#REF!</v>
      </c>
      <c r="L34" t="e">
        <f>VLOOKUP(TableTemp[[#This Row],[Company]],#REF!,3,FALSE)</f>
        <v>#REF!</v>
      </c>
      <c r="M34" s="6" t="e">
        <f>IF(TableTemp[[#This Row],[Currency]]="EUR",ROUND(VLOOKUP(MONTH(TableTemp[[#This Row],[Document Date]]),#REF!,2,FALSE)*TableTemp[[#This Row],[Sales Local Currency]],2),ROUND(TableTemp[[#This Row],[Sales Local Currency]],2))</f>
        <v>#REF!</v>
      </c>
      <c r="Q34" s="21"/>
      <c r="V34" s="14"/>
      <c r="AG34" s="21"/>
      <c r="AK34" s="8" t="s">
        <v>54</v>
      </c>
      <c r="AL34" s="18">
        <v>544079.02</v>
      </c>
      <c r="AM34" s="18">
        <v>16740</v>
      </c>
    </row>
    <row r="35" spans="1:39" x14ac:dyDescent="0.25">
      <c r="A35" s="2" t="s">
        <v>15</v>
      </c>
      <c r="B35">
        <v>88666</v>
      </c>
      <c r="C35" s="3">
        <v>43399</v>
      </c>
      <c r="D35">
        <v>8030</v>
      </c>
      <c r="E35">
        <v>115</v>
      </c>
      <c r="G35">
        <v>390</v>
      </c>
      <c r="H35">
        <v>2340</v>
      </c>
      <c r="I35" t="e">
        <f>VLOOKUP(A35,#REF!,2,FALSE)</f>
        <v>#REF!</v>
      </c>
      <c r="J35" t="e">
        <f>VLOOKUP(TableTemp[[#This Row],[Customer Code]],#REF!,2,FALSE)</f>
        <v>#REF!</v>
      </c>
      <c r="K35" t="e">
        <f>VLOOKUP(TableTemp[[#This Row],[Article code]],#REF!,2,FALSE)</f>
        <v>#REF!</v>
      </c>
      <c r="L35" t="e">
        <f>VLOOKUP(TableTemp[[#This Row],[Company]],#REF!,3,FALSE)</f>
        <v>#REF!</v>
      </c>
      <c r="M35" s="6" t="e">
        <f>IF(TableTemp[[#This Row],[Currency]]="EUR",ROUND(VLOOKUP(MONTH(TableTemp[[#This Row],[Document Date]]),#REF!,2,FALSE)*TableTemp[[#This Row],[Sales Local Currency]],2),ROUND(TableTemp[[#This Row],[Sales Local Currency]],2))</f>
        <v>#REF!</v>
      </c>
      <c r="Q35" s="21"/>
      <c r="V35" s="14"/>
      <c r="AG35" s="21"/>
      <c r="AK35" s="8" t="s">
        <v>17</v>
      </c>
      <c r="AL35" s="18"/>
      <c r="AM35" s="18"/>
    </row>
    <row r="36" spans="1:39" x14ac:dyDescent="0.25">
      <c r="A36" s="2" t="s">
        <v>15</v>
      </c>
      <c r="B36">
        <v>88666</v>
      </c>
      <c r="C36" s="3">
        <v>43399</v>
      </c>
      <c r="D36">
        <v>8030</v>
      </c>
      <c r="E36">
        <v>116</v>
      </c>
      <c r="G36">
        <v>260</v>
      </c>
      <c r="H36">
        <v>1560</v>
      </c>
      <c r="I36" t="e">
        <f>VLOOKUP(A36,#REF!,2,FALSE)</f>
        <v>#REF!</v>
      </c>
      <c r="J36" t="e">
        <f>VLOOKUP(TableTemp[[#This Row],[Customer Code]],#REF!,2,FALSE)</f>
        <v>#REF!</v>
      </c>
      <c r="K36" t="e">
        <f>VLOOKUP(TableTemp[[#This Row],[Article code]],#REF!,2,FALSE)</f>
        <v>#REF!</v>
      </c>
      <c r="L36" t="e">
        <f>VLOOKUP(TableTemp[[#This Row],[Company]],#REF!,3,FALSE)</f>
        <v>#REF!</v>
      </c>
      <c r="M36" s="6" t="e">
        <f>IF(TableTemp[[#This Row],[Currency]]="EUR",ROUND(VLOOKUP(MONTH(TableTemp[[#This Row],[Document Date]]),#REF!,2,FALSE)*TableTemp[[#This Row],[Sales Local Currency]],2),ROUND(TableTemp[[#This Row],[Sales Local Currency]],2))</f>
        <v>#REF!</v>
      </c>
      <c r="Q36" s="21"/>
      <c r="V36" s="14"/>
      <c r="AG36" s="21"/>
      <c r="AK36" s="9" t="s">
        <v>50</v>
      </c>
      <c r="AL36" s="18"/>
      <c r="AM36" s="18"/>
    </row>
    <row r="37" spans="1:39" x14ac:dyDescent="0.25">
      <c r="A37" s="2" t="s">
        <v>16</v>
      </c>
      <c r="B37">
        <v>44030</v>
      </c>
      <c r="C37" s="3">
        <v>43377</v>
      </c>
      <c r="D37">
        <v>8060</v>
      </c>
      <c r="E37">
        <v>108</v>
      </c>
      <c r="F37" t="s">
        <v>0</v>
      </c>
      <c r="G37">
        <v>60</v>
      </c>
      <c r="H37">
        <v>1680</v>
      </c>
      <c r="I37" t="e">
        <f>VLOOKUP(A37,#REF!,2,FALSE)</f>
        <v>#REF!</v>
      </c>
      <c r="J37" t="e">
        <f>VLOOKUP(TableTemp[[#This Row],[Customer Code]],#REF!,2,FALSE)</f>
        <v>#REF!</v>
      </c>
      <c r="K37" t="e">
        <f>VLOOKUP(TableTemp[[#This Row],[Article code]],#REF!,2,FALSE)</f>
        <v>#REF!</v>
      </c>
      <c r="L37" t="e">
        <f>VLOOKUP(TableTemp[[#This Row],[Company]],#REF!,3,FALSE)</f>
        <v>#REF!</v>
      </c>
      <c r="M37" s="6" t="e">
        <f>IF(TableTemp[[#This Row],[Currency]]="EUR",ROUND(VLOOKUP(MONTH(TableTemp[[#This Row],[Document Date]]),#REF!,2,FALSE)*TableTemp[[#This Row],[Sales Local Currency]],2),ROUND(TableTemp[[#This Row],[Sales Local Currency]],2))</f>
        <v>#REF!</v>
      </c>
      <c r="Q37" s="21"/>
      <c r="V37" s="14"/>
      <c r="AG37" s="21"/>
      <c r="AK37" s="10" t="s">
        <v>9</v>
      </c>
      <c r="AL37" s="18">
        <v>16214.16</v>
      </c>
      <c r="AM37" s="18">
        <v>230</v>
      </c>
    </row>
    <row r="38" spans="1:39" x14ac:dyDescent="0.25">
      <c r="A38" s="2" t="s">
        <v>16</v>
      </c>
      <c r="B38">
        <v>44030</v>
      </c>
      <c r="C38" s="3">
        <v>43377</v>
      </c>
      <c r="D38">
        <v>8060</v>
      </c>
      <c r="E38">
        <v>109</v>
      </c>
      <c r="F38">
        <v>1</v>
      </c>
      <c r="G38">
        <v>60</v>
      </c>
      <c r="H38">
        <v>1680</v>
      </c>
      <c r="I38" t="e">
        <f>VLOOKUP(A38,#REF!,2,FALSE)</f>
        <v>#REF!</v>
      </c>
      <c r="J38" t="e">
        <f>VLOOKUP(TableTemp[[#This Row],[Customer Code]],#REF!,2,FALSE)</f>
        <v>#REF!</v>
      </c>
      <c r="K38" t="e">
        <f>VLOOKUP(TableTemp[[#This Row],[Article code]],#REF!,2,FALSE)</f>
        <v>#REF!</v>
      </c>
      <c r="L38" t="e">
        <f>VLOOKUP(TableTemp[[#This Row],[Company]],#REF!,3,FALSE)</f>
        <v>#REF!</v>
      </c>
      <c r="M38" s="6" t="e">
        <f>IF(TableTemp[[#This Row],[Currency]]="EUR",ROUND(VLOOKUP(MONTH(TableTemp[[#This Row],[Document Date]]),#REF!,2,FALSE)*TableTemp[[#This Row],[Sales Local Currency]],2),ROUND(TableTemp[[#This Row],[Sales Local Currency]],2))</f>
        <v>#REF!</v>
      </c>
      <c r="V38" s="14"/>
      <c r="AG38" s="21"/>
      <c r="AK38" s="10" t="s">
        <v>7</v>
      </c>
      <c r="AL38" s="18">
        <v>11843.38</v>
      </c>
      <c r="AM38" s="18">
        <v>360</v>
      </c>
    </row>
    <row r="39" spans="1:39" x14ac:dyDescent="0.25">
      <c r="A39" s="2" t="s">
        <v>16</v>
      </c>
      <c r="B39">
        <v>44032</v>
      </c>
      <c r="C39" s="3">
        <v>43380</v>
      </c>
      <c r="D39">
        <v>8060</v>
      </c>
      <c r="E39">
        <v>108</v>
      </c>
      <c r="F39" t="s">
        <v>0</v>
      </c>
      <c r="G39">
        <v>60</v>
      </c>
      <c r="H39">
        <v>1680</v>
      </c>
      <c r="I39" t="e">
        <f>VLOOKUP(A39,#REF!,2,FALSE)</f>
        <v>#REF!</v>
      </c>
      <c r="J39" t="e">
        <f>VLOOKUP(TableTemp[[#This Row],[Customer Code]],#REF!,2,FALSE)</f>
        <v>#REF!</v>
      </c>
      <c r="K39" t="e">
        <f>VLOOKUP(TableTemp[[#This Row],[Article code]],#REF!,2,FALSE)</f>
        <v>#REF!</v>
      </c>
      <c r="L39" t="e">
        <f>VLOOKUP(TableTemp[[#This Row],[Company]],#REF!,3,FALSE)</f>
        <v>#REF!</v>
      </c>
      <c r="M39" s="6" t="e">
        <f>IF(TableTemp[[#This Row],[Currency]]="EUR",ROUND(VLOOKUP(MONTH(TableTemp[[#This Row],[Document Date]]),#REF!,2,FALSE)*TableTemp[[#This Row],[Sales Local Currency]],2),ROUND(TableTemp[[#This Row],[Sales Local Currency]],2))</f>
        <v>#REF!</v>
      </c>
      <c r="AK39" s="10" t="s">
        <v>8</v>
      </c>
      <c r="AL39" s="18">
        <v>11514.41</v>
      </c>
      <c r="AM39" s="18">
        <v>350</v>
      </c>
    </row>
    <row r="40" spans="1:39" x14ac:dyDescent="0.25">
      <c r="A40" s="2" t="s">
        <v>16</v>
      </c>
      <c r="B40">
        <v>44032</v>
      </c>
      <c r="C40" s="3">
        <v>43380</v>
      </c>
      <c r="D40">
        <v>8060</v>
      </c>
      <c r="E40">
        <v>109</v>
      </c>
      <c r="G40">
        <v>70</v>
      </c>
      <c r="H40">
        <v>1960</v>
      </c>
      <c r="I40" t="e">
        <f>VLOOKUP(A40,#REF!,2,FALSE)</f>
        <v>#REF!</v>
      </c>
      <c r="J40" t="e">
        <f>VLOOKUP(TableTemp[[#This Row],[Customer Code]],#REF!,2,FALSE)</f>
        <v>#REF!</v>
      </c>
      <c r="K40" t="e">
        <f>VLOOKUP(TableTemp[[#This Row],[Article code]],#REF!,2,FALSE)</f>
        <v>#REF!</v>
      </c>
      <c r="L40" t="e">
        <f>VLOOKUP(TableTemp[[#This Row],[Company]],#REF!,3,FALSE)</f>
        <v>#REF!</v>
      </c>
      <c r="M40" s="6" t="e">
        <f>IF(TableTemp[[#This Row],[Currency]]="EUR",ROUND(VLOOKUP(MONTH(TableTemp[[#This Row],[Document Date]]),#REF!,2,FALSE)*TableTemp[[#This Row],[Sales Local Currency]],2),ROUND(TableTemp[[#This Row],[Sales Local Currency]],2))</f>
        <v>#REF!</v>
      </c>
      <c r="AK40" s="10" t="s">
        <v>10</v>
      </c>
      <c r="AL40" s="18">
        <v>6579.6600000000008</v>
      </c>
      <c r="AM40" s="18">
        <v>280</v>
      </c>
    </row>
    <row r="41" spans="1:39" x14ac:dyDescent="0.25">
      <c r="A41" s="2" t="s">
        <v>16</v>
      </c>
      <c r="B41">
        <v>44031</v>
      </c>
      <c r="C41" s="3">
        <v>43381</v>
      </c>
      <c r="D41">
        <v>8050</v>
      </c>
      <c r="E41">
        <v>108</v>
      </c>
      <c r="F41" t="s">
        <v>0</v>
      </c>
      <c r="G41">
        <v>60</v>
      </c>
      <c r="H41">
        <v>1680</v>
      </c>
      <c r="I41" t="e">
        <f>VLOOKUP(A41,#REF!,2,FALSE)</f>
        <v>#REF!</v>
      </c>
      <c r="J41" t="e">
        <f>VLOOKUP(TableTemp[[#This Row],[Customer Code]],#REF!,2,FALSE)</f>
        <v>#REF!</v>
      </c>
      <c r="K41" t="e">
        <f>VLOOKUP(TableTemp[[#This Row],[Article code]],#REF!,2,FALSE)</f>
        <v>#REF!</v>
      </c>
      <c r="L41" t="e">
        <f>VLOOKUP(TableTemp[[#This Row],[Company]],#REF!,3,FALSE)</f>
        <v>#REF!</v>
      </c>
      <c r="M41" s="6" t="e">
        <f>IF(TableTemp[[#This Row],[Currency]]="EUR",ROUND(VLOOKUP(MONTH(TableTemp[[#This Row],[Document Date]]),#REF!,2,FALSE)*TableTemp[[#This Row],[Sales Local Currency]],2),ROUND(TableTemp[[#This Row],[Sales Local Currency]],2))</f>
        <v>#REF!</v>
      </c>
      <c r="AK41" s="9" t="s">
        <v>52</v>
      </c>
      <c r="AL41" s="18">
        <v>46151.61</v>
      </c>
      <c r="AM41" s="18">
        <v>1220</v>
      </c>
    </row>
    <row r="42" spans="1:39" x14ac:dyDescent="0.25">
      <c r="A42" s="2" t="s">
        <v>16</v>
      </c>
      <c r="B42">
        <v>44031</v>
      </c>
      <c r="C42" s="3">
        <v>43381</v>
      </c>
      <c r="D42">
        <v>8050</v>
      </c>
      <c r="E42">
        <v>109</v>
      </c>
      <c r="F42" t="s">
        <v>0</v>
      </c>
      <c r="G42">
        <v>50</v>
      </c>
      <c r="H42">
        <v>1400</v>
      </c>
      <c r="I42" t="e">
        <f>VLOOKUP(A42,#REF!,2,FALSE)</f>
        <v>#REF!</v>
      </c>
      <c r="J42" t="e">
        <f>VLOOKUP(TableTemp[[#This Row],[Customer Code]],#REF!,2,FALSE)</f>
        <v>#REF!</v>
      </c>
      <c r="K42" t="e">
        <f>VLOOKUP(TableTemp[[#This Row],[Article code]],#REF!,2,FALSE)</f>
        <v>#REF!</v>
      </c>
      <c r="L42" t="e">
        <f>VLOOKUP(TableTemp[[#This Row],[Company]],#REF!,3,FALSE)</f>
        <v>#REF!</v>
      </c>
      <c r="M42" s="6" t="e">
        <f>IF(TableTemp[[#This Row],[Currency]]="EUR",ROUND(VLOOKUP(MONTH(TableTemp[[#This Row],[Document Date]]),#REF!,2,FALSE)*TableTemp[[#This Row],[Sales Local Currency]],2),ROUND(TableTemp[[#This Row],[Sales Local Currency]],2))</f>
        <v>#REF!</v>
      </c>
      <c r="AK42" s="9" t="s">
        <v>51</v>
      </c>
      <c r="AL42" s="18"/>
      <c r="AM42" s="18"/>
    </row>
    <row r="43" spans="1:39" x14ac:dyDescent="0.25">
      <c r="A43" s="2" t="s">
        <v>16</v>
      </c>
      <c r="B43">
        <v>44031</v>
      </c>
      <c r="C43" s="3">
        <v>43381</v>
      </c>
      <c r="D43">
        <v>8050</v>
      </c>
      <c r="E43">
        <v>110</v>
      </c>
      <c r="F43" t="s">
        <v>0</v>
      </c>
      <c r="G43">
        <v>60</v>
      </c>
      <c r="H43">
        <v>3600</v>
      </c>
      <c r="I43" t="e">
        <f>VLOOKUP(A43,#REF!,2,FALSE)</f>
        <v>#REF!</v>
      </c>
      <c r="J43" t="e">
        <f>VLOOKUP(TableTemp[[#This Row],[Customer Code]],#REF!,2,FALSE)</f>
        <v>#REF!</v>
      </c>
      <c r="K43" t="e">
        <f>VLOOKUP(TableTemp[[#This Row],[Article code]],#REF!,2,FALSE)</f>
        <v>#REF!</v>
      </c>
      <c r="L43" t="e">
        <f>VLOOKUP(TableTemp[[#This Row],[Company]],#REF!,3,FALSE)</f>
        <v>#REF!</v>
      </c>
      <c r="M43" s="6" t="e">
        <f>IF(TableTemp[[#This Row],[Currency]]="EUR",ROUND(VLOOKUP(MONTH(TableTemp[[#This Row],[Document Date]]),#REF!,2,FALSE)*TableTemp[[#This Row],[Sales Local Currency]],2),ROUND(TableTemp[[#This Row],[Sales Local Currency]],2))</f>
        <v>#REF!</v>
      </c>
      <c r="AK43" s="10" t="s">
        <v>9</v>
      </c>
      <c r="AL43" s="18">
        <v>23968.760000000002</v>
      </c>
      <c r="AM43" s="18">
        <v>340</v>
      </c>
    </row>
    <row r="44" spans="1:39" x14ac:dyDescent="0.25">
      <c r="A44" s="2" t="s">
        <v>16</v>
      </c>
      <c r="B44">
        <v>48112</v>
      </c>
      <c r="C44" s="3">
        <v>43384</v>
      </c>
      <c r="D44">
        <v>8060</v>
      </c>
      <c r="E44">
        <v>109</v>
      </c>
      <c r="G44">
        <v>60</v>
      </c>
      <c r="H44">
        <v>1680</v>
      </c>
      <c r="I44" t="e">
        <f>VLOOKUP(A44,#REF!,2,FALSE)</f>
        <v>#REF!</v>
      </c>
      <c r="J44" t="e">
        <f>VLOOKUP(TableTemp[[#This Row],[Customer Code]],#REF!,2,FALSE)</f>
        <v>#REF!</v>
      </c>
      <c r="K44" t="e">
        <f>VLOOKUP(TableTemp[[#This Row],[Article code]],#REF!,2,FALSE)</f>
        <v>#REF!</v>
      </c>
      <c r="L44" t="e">
        <f>VLOOKUP(TableTemp[[#This Row],[Company]],#REF!,3,FALSE)</f>
        <v>#REF!</v>
      </c>
      <c r="M44" s="6" t="e">
        <f>IF(TableTemp[[#This Row],[Currency]]="EUR",ROUND(VLOOKUP(MONTH(TableTemp[[#This Row],[Document Date]]),#REF!,2,FALSE)*TableTemp[[#This Row],[Sales Local Currency]],2),ROUND(TableTemp[[#This Row],[Sales Local Currency]],2))</f>
        <v>#REF!</v>
      </c>
      <c r="AK44" s="10" t="s">
        <v>8</v>
      </c>
      <c r="AL44" s="18">
        <v>21712.880000000005</v>
      </c>
      <c r="AM44" s="18">
        <v>660</v>
      </c>
    </row>
    <row r="45" spans="1:39" x14ac:dyDescent="0.25">
      <c r="A45" s="2" t="s">
        <v>16</v>
      </c>
      <c r="B45">
        <v>48112</v>
      </c>
      <c r="C45" s="3">
        <v>43384</v>
      </c>
      <c r="D45">
        <v>8060</v>
      </c>
      <c r="E45">
        <v>110</v>
      </c>
      <c r="F45" t="s">
        <v>0</v>
      </c>
      <c r="G45">
        <v>50</v>
      </c>
      <c r="H45">
        <v>3000</v>
      </c>
      <c r="I45" t="e">
        <f>VLOOKUP(A45,#REF!,2,FALSE)</f>
        <v>#REF!</v>
      </c>
      <c r="J45" t="e">
        <f>VLOOKUP(TableTemp[[#This Row],[Customer Code]],#REF!,2,FALSE)</f>
        <v>#REF!</v>
      </c>
      <c r="K45" t="e">
        <f>VLOOKUP(TableTemp[[#This Row],[Article code]],#REF!,2,FALSE)</f>
        <v>#REF!</v>
      </c>
      <c r="L45" t="e">
        <f>VLOOKUP(TableTemp[[#This Row],[Company]],#REF!,3,FALSE)</f>
        <v>#REF!</v>
      </c>
      <c r="M45" s="6" t="e">
        <f>IF(TableTemp[[#This Row],[Currency]]="EUR",ROUND(VLOOKUP(MONTH(TableTemp[[#This Row],[Document Date]]),#REF!,2,FALSE)*TableTemp[[#This Row],[Sales Local Currency]],2),ROUND(TableTemp[[#This Row],[Sales Local Currency]],2))</f>
        <v>#REF!</v>
      </c>
      <c r="AK45" s="10" t="s">
        <v>7</v>
      </c>
      <c r="AL45" s="18">
        <v>12830.34</v>
      </c>
      <c r="AM45" s="18">
        <v>390</v>
      </c>
    </row>
    <row r="46" spans="1:39" x14ac:dyDescent="0.25">
      <c r="A46" s="2" t="s">
        <v>16</v>
      </c>
      <c r="B46">
        <v>48114</v>
      </c>
      <c r="C46" s="3">
        <v>43384</v>
      </c>
      <c r="D46">
        <v>8050</v>
      </c>
      <c r="E46">
        <v>109</v>
      </c>
      <c r="G46">
        <v>60</v>
      </c>
      <c r="H46">
        <v>1680</v>
      </c>
      <c r="I46" t="e">
        <f>VLOOKUP(A46,#REF!,2,FALSE)</f>
        <v>#REF!</v>
      </c>
      <c r="J46" t="e">
        <f>VLOOKUP(TableTemp[[#This Row],[Customer Code]],#REF!,2,FALSE)</f>
        <v>#REF!</v>
      </c>
      <c r="K46" t="e">
        <f>VLOOKUP(TableTemp[[#This Row],[Article code]],#REF!,2,FALSE)</f>
        <v>#REF!</v>
      </c>
      <c r="L46" t="e">
        <f>VLOOKUP(TableTemp[[#This Row],[Company]],#REF!,3,FALSE)</f>
        <v>#REF!</v>
      </c>
      <c r="M46" s="6" t="e">
        <f>IF(TableTemp[[#This Row],[Currency]]="EUR",ROUND(VLOOKUP(MONTH(TableTemp[[#This Row],[Document Date]]),#REF!,2,FALSE)*TableTemp[[#This Row],[Sales Local Currency]],2),ROUND(TableTemp[[#This Row],[Sales Local Currency]],2))</f>
        <v>#REF!</v>
      </c>
      <c r="AK46" s="9" t="s">
        <v>57</v>
      </c>
      <c r="AL46" s="18">
        <v>58511.98</v>
      </c>
      <c r="AM46" s="18">
        <v>1390</v>
      </c>
    </row>
    <row r="47" spans="1:39" x14ac:dyDescent="0.25">
      <c r="A47" s="2" t="s">
        <v>16</v>
      </c>
      <c r="B47">
        <v>48114</v>
      </c>
      <c r="C47" s="3">
        <v>43384</v>
      </c>
      <c r="D47">
        <v>8050</v>
      </c>
      <c r="E47">
        <v>110</v>
      </c>
      <c r="G47">
        <v>60</v>
      </c>
      <c r="H47">
        <v>3600</v>
      </c>
      <c r="I47" t="e">
        <f>VLOOKUP(A47,#REF!,2,FALSE)</f>
        <v>#REF!</v>
      </c>
      <c r="J47" t="e">
        <f>VLOOKUP(TableTemp[[#This Row],[Customer Code]],#REF!,2,FALSE)</f>
        <v>#REF!</v>
      </c>
      <c r="K47" t="e">
        <f>VLOOKUP(TableTemp[[#This Row],[Article code]],#REF!,2,FALSE)</f>
        <v>#REF!</v>
      </c>
      <c r="L47" t="e">
        <f>VLOOKUP(TableTemp[[#This Row],[Company]],#REF!,3,FALSE)</f>
        <v>#REF!</v>
      </c>
      <c r="M47" s="6" t="e">
        <f>IF(TableTemp[[#This Row],[Currency]]="EUR",ROUND(VLOOKUP(MONTH(TableTemp[[#This Row],[Document Date]]),#REF!,2,FALSE)*TableTemp[[#This Row],[Sales Local Currency]],2),ROUND(TableTemp[[#This Row],[Sales Local Currency]],2))</f>
        <v>#REF!</v>
      </c>
      <c r="AK47" s="8" t="s">
        <v>58</v>
      </c>
      <c r="AL47" s="18">
        <v>104663.59</v>
      </c>
      <c r="AM47" s="18">
        <v>2610</v>
      </c>
    </row>
    <row r="48" spans="1:39" x14ac:dyDescent="0.25">
      <c r="A48" s="2" t="s">
        <v>16</v>
      </c>
      <c r="B48">
        <v>48114</v>
      </c>
      <c r="C48" s="3">
        <v>43384</v>
      </c>
      <c r="D48">
        <v>8050</v>
      </c>
      <c r="E48">
        <v>111</v>
      </c>
      <c r="G48">
        <v>80</v>
      </c>
      <c r="H48">
        <v>1600</v>
      </c>
      <c r="I48" t="e">
        <f>VLOOKUP(A48,#REF!,2,FALSE)</f>
        <v>#REF!</v>
      </c>
      <c r="J48" t="e">
        <f>VLOOKUP(TableTemp[[#This Row],[Customer Code]],#REF!,2,FALSE)</f>
        <v>#REF!</v>
      </c>
      <c r="K48" t="e">
        <f>VLOOKUP(TableTemp[[#This Row],[Article code]],#REF!,2,FALSE)</f>
        <v>#REF!</v>
      </c>
      <c r="L48" t="e">
        <f>VLOOKUP(TableTemp[[#This Row],[Company]],#REF!,3,FALSE)</f>
        <v>#REF!</v>
      </c>
      <c r="M48" s="6" t="e">
        <f>IF(TableTemp[[#This Row],[Currency]]="EUR",ROUND(VLOOKUP(MONTH(TableTemp[[#This Row],[Document Date]]),#REF!,2,FALSE)*TableTemp[[#This Row],[Sales Local Currency]],2),ROUND(TableTemp[[#This Row],[Sales Local Currency]],2))</f>
        <v>#REF!</v>
      </c>
      <c r="AK48" s="8" t="s">
        <v>37</v>
      </c>
      <c r="AL48" s="18">
        <v>648742.6100000001</v>
      </c>
      <c r="AM48" s="18">
        <v>19350</v>
      </c>
    </row>
    <row r="49" spans="1:13" x14ac:dyDescent="0.25">
      <c r="A49" s="2" t="s">
        <v>16</v>
      </c>
      <c r="B49">
        <v>48116</v>
      </c>
      <c r="C49" s="3">
        <v>43384</v>
      </c>
      <c r="D49">
        <v>8060</v>
      </c>
      <c r="E49">
        <v>109</v>
      </c>
      <c r="G49">
        <v>60</v>
      </c>
      <c r="H49">
        <v>1680</v>
      </c>
      <c r="I49" t="e">
        <f>VLOOKUP(A49,#REF!,2,FALSE)</f>
        <v>#REF!</v>
      </c>
      <c r="J49" t="e">
        <f>VLOOKUP(TableTemp[[#This Row],[Customer Code]],#REF!,2,FALSE)</f>
        <v>#REF!</v>
      </c>
      <c r="K49" t="e">
        <f>VLOOKUP(TableTemp[[#This Row],[Article code]],#REF!,2,FALSE)</f>
        <v>#REF!</v>
      </c>
      <c r="L49" t="e">
        <f>VLOOKUP(TableTemp[[#This Row],[Company]],#REF!,3,FALSE)</f>
        <v>#REF!</v>
      </c>
      <c r="M49" s="6" t="e">
        <f>IF(TableTemp[[#This Row],[Currency]]="EUR",ROUND(VLOOKUP(MONTH(TableTemp[[#This Row],[Document Date]]),#REF!,2,FALSE)*TableTemp[[#This Row],[Sales Local Currency]],2),ROUND(TableTemp[[#This Row],[Sales Local Currency]],2))</f>
        <v>#REF!</v>
      </c>
    </row>
    <row r="50" spans="1:13" x14ac:dyDescent="0.25">
      <c r="A50" s="2" t="s">
        <v>16</v>
      </c>
      <c r="B50">
        <v>48116</v>
      </c>
      <c r="C50" s="3">
        <v>43384</v>
      </c>
      <c r="D50">
        <v>8060</v>
      </c>
      <c r="E50">
        <v>110</v>
      </c>
      <c r="G50">
        <v>60</v>
      </c>
      <c r="H50">
        <v>3600</v>
      </c>
      <c r="I50" t="e">
        <f>VLOOKUP(A50,#REF!,2,FALSE)</f>
        <v>#REF!</v>
      </c>
      <c r="J50" t="e">
        <f>VLOOKUP(TableTemp[[#This Row],[Customer Code]],#REF!,2,FALSE)</f>
        <v>#REF!</v>
      </c>
      <c r="K50" t="e">
        <f>VLOOKUP(TableTemp[[#This Row],[Article code]],#REF!,2,FALSE)</f>
        <v>#REF!</v>
      </c>
      <c r="L50" t="e">
        <f>VLOOKUP(TableTemp[[#This Row],[Company]],#REF!,3,FALSE)</f>
        <v>#REF!</v>
      </c>
      <c r="M50" s="6" t="e">
        <f>IF(TableTemp[[#This Row],[Currency]]="EUR",ROUND(VLOOKUP(MONTH(TableTemp[[#This Row],[Document Date]]),#REF!,2,FALSE)*TableTemp[[#This Row],[Sales Local Currency]],2),ROUND(TableTemp[[#This Row],[Sales Local Currency]],2))</f>
        <v>#REF!</v>
      </c>
    </row>
    <row r="51" spans="1:13" x14ac:dyDescent="0.25">
      <c r="A51" s="2" t="s">
        <v>16</v>
      </c>
      <c r="B51">
        <v>45442</v>
      </c>
      <c r="C51" s="3">
        <v>43388</v>
      </c>
      <c r="D51">
        <v>8050</v>
      </c>
      <c r="E51">
        <v>108</v>
      </c>
      <c r="G51">
        <v>50</v>
      </c>
      <c r="H51">
        <v>1400</v>
      </c>
      <c r="I51" t="e">
        <f>VLOOKUP(A51,#REF!,2,FALSE)</f>
        <v>#REF!</v>
      </c>
      <c r="J51" t="e">
        <f>VLOOKUP(TableTemp[[#This Row],[Customer Code]],#REF!,2,FALSE)</f>
        <v>#REF!</v>
      </c>
      <c r="K51" t="e">
        <f>VLOOKUP(TableTemp[[#This Row],[Article code]],#REF!,2,FALSE)</f>
        <v>#REF!</v>
      </c>
      <c r="L51" t="e">
        <f>VLOOKUP(TableTemp[[#This Row],[Company]],#REF!,3,FALSE)</f>
        <v>#REF!</v>
      </c>
      <c r="M51" s="6" t="e">
        <f>IF(TableTemp[[#This Row],[Currency]]="EUR",ROUND(VLOOKUP(MONTH(TableTemp[[#This Row],[Document Date]]),#REF!,2,FALSE)*TableTemp[[#This Row],[Sales Local Currency]],2),ROUND(TableTemp[[#This Row],[Sales Local Currency]],2))</f>
        <v>#REF!</v>
      </c>
    </row>
    <row r="52" spans="1:13" x14ac:dyDescent="0.25">
      <c r="A52" s="2" t="s">
        <v>16</v>
      </c>
      <c r="B52">
        <v>45442</v>
      </c>
      <c r="C52" s="3">
        <v>43388</v>
      </c>
      <c r="D52">
        <v>8050</v>
      </c>
      <c r="E52">
        <v>109</v>
      </c>
      <c r="F52">
        <v>1</v>
      </c>
      <c r="G52">
        <v>60</v>
      </c>
      <c r="H52">
        <v>1680</v>
      </c>
      <c r="I52" t="e">
        <f>VLOOKUP(A52,#REF!,2,FALSE)</f>
        <v>#REF!</v>
      </c>
      <c r="J52" t="e">
        <f>VLOOKUP(TableTemp[[#This Row],[Customer Code]],#REF!,2,FALSE)</f>
        <v>#REF!</v>
      </c>
      <c r="K52" t="e">
        <f>VLOOKUP(TableTemp[[#This Row],[Article code]],#REF!,2,FALSE)</f>
        <v>#REF!</v>
      </c>
      <c r="L52" t="e">
        <f>VLOOKUP(TableTemp[[#This Row],[Company]],#REF!,3,FALSE)</f>
        <v>#REF!</v>
      </c>
      <c r="M52" s="6" t="e">
        <f>IF(TableTemp[[#This Row],[Currency]]="EUR",ROUND(VLOOKUP(MONTH(TableTemp[[#This Row],[Document Date]]),#REF!,2,FALSE)*TableTemp[[#This Row],[Sales Local Currency]],2),ROUND(TableTemp[[#This Row],[Sales Local Currency]],2))</f>
        <v>#REF!</v>
      </c>
    </row>
    <row r="53" spans="1:13" x14ac:dyDescent="0.25">
      <c r="A53" s="2" t="s">
        <v>16</v>
      </c>
      <c r="B53">
        <v>45444</v>
      </c>
      <c r="C53" s="3">
        <v>43388</v>
      </c>
      <c r="D53">
        <v>8060</v>
      </c>
      <c r="E53">
        <v>108</v>
      </c>
      <c r="G53">
        <v>60</v>
      </c>
      <c r="H53">
        <v>1680</v>
      </c>
      <c r="I53" t="e">
        <f>VLOOKUP(A53,#REF!,2,FALSE)</f>
        <v>#REF!</v>
      </c>
      <c r="J53" t="e">
        <f>VLOOKUP(TableTemp[[#This Row],[Customer Code]],#REF!,2,FALSE)</f>
        <v>#REF!</v>
      </c>
      <c r="K53" t="e">
        <f>VLOOKUP(TableTemp[[#This Row],[Article code]],#REF!,2,FALSE)</f>
        <v>#REF!</v>
      </c>
      <c r="L53" t="e">
        <f>VLOOKUP(TableTemp[[#This Row],[Company]],#REF!,3,FALSE)</f>
        <v>#REF!</v>
      </c>
      <c r="M53" s="6" t="e">
        <f>IF(TableTemp[[#This Row],[Currency]]="EUR",ROUND(VLOOKUP(MONTH(TableTemp[[#This Row],[Document Date]]),#REF!,2,FALSE)*TableTemp[[#This Row],[Sales Local Currency]],2),ROUND(TableTemp[[#This Row],[Sales Local Currency]],2))</f>
        <v>#REF!</v>
      </c>
    </row>
    <row r="54" spans="1:13" x14ac:dyDescent="0.25">
      <c r="A54" s="2" t="s">
        <v>16</v>
      </c>
      <c r="B54">
        <v>45444</v>
      </c>
      <c r="C54" s="3">
        <v>43388</v>
      </c>
      <c r="D54">
        <v>8060</v>
      </c>
      <c r="E54">
        <v>109</v>
      </c>
      <c r="G54">
        <v>70</v>
      </c>
      <c r="H54">
        <v>1960</v>
      </c>
      <c r="I54" t="e">
        <f>VLOOKUP(A54,#REF!,2,FALSE)</f>
        <v>#REF!</v>
      </c>
      <c r="J54" t="e">
        <f>VLOOKUP(TableTemp[[#This Row],[Customer Code]],#REF!,2,FALSE)</f>
        <v>#REF!</v>
      </c>
      <c r="K54" t="e">
        <f>VLOOKUP(TableTemp[[#This Row],[Article code]],#REF!,2,FALSE)</f>
        <v>#REF!</v>
      </c>
      <c r="L54" t="e">
        <f>VLOOKUP(TableTemp[[#This Row],[Company]],#REF!,3,FALSE)</f>
        <v>#REF!</v>
      </c>
      <c r="M54" s="6" t="e">
        <f>IF(TableTemp[[#This Row],[Currency]]="EUR",ROUND(VLOOKUP(MONTH(TableTemp[[#This Row],[Document Date]]),#REF!,2,FALSE)*TableTemp[[#This Row],[Sales Local Currency]],2),ROUND(TableTemp[[#This Row],[Sales Local Currency]],2))</f>
        <v>#REF!</v>
      </c>
    </row>
    <row r="55" spans="1:13" x14ac:dyDescent="0.25">
      <c r="A55" s="2" t="s">
        <v>16</v>
      </c>
      <c r="B55">
        <v>45444</v>
      </c>
      <c r="C55" s="3">
        <v>43388</v>
      </c>
      <c r="D55">
        <v>8060</v>
      </c>
      <c r="E55">
        <v>110</v>
      </c>
      <c r="G55">
        <v>60</v>
      </c>
      <c r="H55">
        <v>3600</v>
      </c>
      <c r="I55" t="e">
        <f>VLOOKUP(A55,#REF!,2,FALSE)</f>
        <v>#REF!</v>
      </c>
      <c r="J55" t="e">
        <f>VLOOKUP(TableTemp[[#This Row],[Customer Code]],#REF!,2,FALSE)</f>
        <v>#REF!</v>
      </c>
      <c r="K55" t="e">
        <f>VLOOKUP(TableTemp[[#This Row],[Article code]],#REF!,2,FALSE)</f>
        <v>#REF!</v>
      </c>
      <c r="L55" t="e">
        <f>VLOOKUP(TableTemp[[#This Row],[Company]],#REF!,3,FALSE)</f>
        <v>#REF!</v>
      </c>
      <c r="M55" s="6" t="e">
        <f>IF(TableTemp[[#This Row],[Currency]]="EUR",ROUND(VLOOKUP(MONTH(TableTemp[[#This Row],[Document Date]]),#REF!,2,FALSE)*TableTemp[[#This Row],[Sales Local Currency]],2),ROUND(TableTemp[[#This Row],[Sales Local Currency]],2))</f>
        <v>#REF!</v>
      </c>
    </row>
    <row r="56" spans="1:13" x14ac:dyDescent="0.25">
      <c r="A56" s="2" t="s">
        <v>16</v>
      </c>
      <c r="B56">
        <v>45446</v>
      </c>
      <c r="C56" s="3">
        <v>43388</v>
      </c>
      <c r="D56">
        <v>8050</v>
      </c>
      <c r="E56">
        <v>111</v>
      </c>
      <c r="G56">
        <v>80</v>
      </c>
      <c r="H56">
        <v>1600</v>
      </c>
      <c r="I56" t="e">
        <f>VLOOKUP(A56,#REF!,2,FALSE)</f>
        <v>#REF!</v>
      </c>
      <c r="J56" t="e">
        <f>VLOOKUP(TableTemp[[#This Row],[Customer Code]],#REF!,2,FALSE)</f>
        <v>#REF!</v>
      </c>
      <c r="K56" t="e">
        <f>VLOOKUP(TableTemp[[#This Row],[Article code]],#REF!,2,FALSE)</f>
        <v>#REF!</v>
      </c>
      <c r="L56" t="e">
        <f>VLOOKUP(TableTemp[[#This Row],[Company]],#REF!,3,FALSE)</f>
        <v>#REF!</v>
      </c>
      <c r="M56" s="6" t="e">
        <f>IF(TableTemp[[#This Row],[Currency]]="EUR",ROUND(VLOOKUP(MONTH(TableTemp[[#This Row],[Document Date]]),#REF!,2,FALSE)*TableTemp[[#This Row],[Sales Local Currency]],2),ROUND(TableTemp[[#This Row],[Sales Local Currency]],2))</f>
        <v>#REF!</v>
      </c>
    </row>
    <row r="57" spans="1:13" x14ac:dyDescent="0.25">
      <c r="A57" s="2" t="s">
        <v>16</v>
      </c>
      <c r="B57">
        <v>45446</v>
      </c>
      <c r="C57" s="3">
        <v>43388</v>
      </c>
      <c r="D57">
        <v>8050</v>
      </c>
      <c r="E57">
        <v>108</v>
      </c>
      <c r="G57">
        <v>50</v>
      </c>
      <c r="H57">
        <v>1400</v>
      </c>
      <c r="I57" t="e">
        <f>VLOOKUP(A57,#REF!,2,FALSE)</f>
        <v>#REF!</v>
      </c>
      <c r="J57" t="e">
        <f>VLOOKUP(TableTemp[[#This Row],[Customer Code]],#REF!,2,FALSE)</f>
        <v>#REF!</v>
      </c>
      <c r="K57" t="e">
        <f>VLOOKUP(TableTemp[[#This Row],[Article code]],#REF!,2,FALSE)</f>
        <v>#REF!</v>
      </c>
      <c r="L57" t="e">
        <f>VLOOKUP(TableTemp[[#This Row],[Company]],#REF!,3,FALSE)</f>
        <v>#REF!</v>
      </c>
      <c r="M57" s="6" t="e">
        <f>IF(TableTemp[[#This Row],[Currency]]="EUR",ROUND(VLOOKUP(MONTH(TableTemp[[#This Row],[Document Date]]),#REF!,2,FALSE)*TableTemp[[#This Row],[Sales Local Currency]],2),ROUND(TableTemp[[#This Row],[Sales Local Currency]],2))</f>
        <v>#REF!</v>
      </c>
    </row>
    <row r="58" spans="1:13" x14ac:dyDescent="0.25">
      <c r="A58" s="2" t="s">
        <v>16</v>
      </c>
      <c r="B58">
        <v>44015</v>
      </c>
      <c r="C58" s="3">
        <v>43383</v>
      </c>
      <c r="D58">
        <v>8060</v>
      </c>
      <c r="E58">
        <v>108</v>
      </c>
      <c r="G58">
        <v>60</v>
      </c>
      <c r="H58">
        <v>1680</v>
      </c>
      <c r="I58" t="e">
        <f>VLOOKUP(A58,#REF!,2,FALSE)</f>
        <v>#REF!</v>
      </c>
      <c r="J58" t="e">
        <f>VLOOKUP(TableTemp[[#This Row],[Customer Code]],#REF!,2,FALSE)</f>
        <v>#REF!</v>
      </c>
      <c r="K58" t="e">
        <f>VLOOKUP(TableTemp[[#This Row],[Article code]],#REF!,2,FALSE)</f>
        <v>#REF!</v>
      </c>
      <c r="L58" t="e">
        <f>VLOOKUP(TableTemp[[#This Row],[Company]],#REF!,3,FALSE)</f>
        <v>#REF!</v>
      </c>
      <c r="M58" s="6" t="e">
        <f>IF(TableTemp[[#This Row],[Currency]]="EUR",ROUND(VLOOKUP(MONTH(TableTemp[[#This Row],[Document Date]]),#REF!,2,FALSE)*TableTemp[[#This Row],[Sales Local Currency]],2),ROUND(TableTemp[[#This Row],[Sales Local Currency]],2))</f>
        <v>#REF!</v>
      </c>
    </row>
    <row r="59" spans="1:13" x14ac:dyDescent="0.25">
      <c r="A59" s="2" t="s">
        <v>16</v>
      </c>
      <c r="B59">
        <v>44015</v>
      </c>
      <c r="C59" s="3">
        <v>43383</v>
      </c>
      <c r="D59">
        <v>8060</v>
      </c>
      <c r="E59">
        <v>109</v>
      </c>
      <c r="G59">
        <v>70</v>
      </c>
      <c r="H59">
        <v>1960</v>
      </c>
      <c r="I59" t="e">
        <f>VLOOKUP(A59,#REF!,2,FALSE)</f>
        <v>#REF!</v>
      </c>
      <c r="J59" t="e">
        <f>VLOOKUP(TableTemp[[#This Row],[Customer Code]],#REF!,2,FALSE)</f>
        <v>#REF!</v>
      </c>
      <c r="K59" t="e">
        <f>VLOOKUP(TableTemp[[#This Row],[Article code]],#REF!,2,FALSE)</f>
        <v>#REF!</v>
      </c>
      <c r="L59" t="e">
        <f>VLOOKUP(TableTemp[[#This Row],[Company]],#REF!,3,FALSE)</f>
        <v>#REF!</v>
      </c>
      <c r="M59" s="6" t="e">
        <f>IF(TableTemp[[#This Row],[Currency]]="EUR",ROUND(VLOOKUP(MONTH(TableTemp[[#This Row],[Document Date]]),#REF!,2,FALSE)*TableTemp[[#This Row],[Sales Local Currency]],2),ROUND(TableTemp[[#This Row],[Sales Local Currency]],2))</f>
        <v>#REF!</v>
      </c>
    </row>
    <row r="60" spans="1:13" x14ac:dyDescent="0.25">
      <c r="A60" s="2" t="s">
        <v>16</v>
      </c>
      <c r="B60">
        <v>44017</v>
      </c>
      <c r="C60" s="3">
        <v>43386</v>
      </c>
      <c r="D60">
        <v>8060</v>
      </c>
      <c r="E60">
        <v>108</v>
      </c>
      <c r="G60">
        <v>70</v>
      </c>
      <c r="H60">
        <v>1960</v>
      </c>
      <c r="I60" t="e">
        <f>VLOOKUP(A60,#REF!,2,FALSE)</f>
        <v>#REF!</v>
      </c>
      <c r="J60" t="e">
        <f>VLOOKUP(TableTemp[[#This Row],[Customer Code]],#REF!,2,FALSE)</f>
        <v>#REF!</v>
      </c>
      <c r="K60" t="e">
        <f>VLOOKUP(TableTemp[[#This Row],[Article code]],#REF!,2,FALSE)</f>
        <v>#REF!</v>
      </c>
      <c r="L60" t="e">
        <f>VLOOKUP(TableTemp[[#This Row],[Company]],#REF!,3,FALSE)</f>
        <v>#REF!</v>
      </c>
      <c r="M60" s="6" t="e">
        <f>IF(TableTemp[[#This Row],[Currency]]="EUR",ROUND(VLOOKUP(MONTH(TableTemp[[#This Row],[Document Date]]),#REF!,2,FALSE)*TableTemp[[#This Row],[Sales Local Currency]],2),ROUND(TableTemp[[#This Row],[Sales Local Currency]],2))</f>
        <v>#REF!</v>
      </c>
    </row>
    <row r="61" spans="1:13" x14ac:dyDescent="0.25">
      <c r="A61" s="2" t="s">
        <v>16</v>
      </c>
      <c r="B61">
        <v>44017</v>
      </c>
      <c r="C61" s="3">
        <v>43386</v>
      </c>
      <c r="D61">
        <v>8060</v>
      </c>
      <c r="E61">
        <v>109</v>
      </c>
      <c r="G61">
        <v>70</v>
      </c>
      <c r="H61">
        <v>1960</v>
      </c>
      <c r="I61" t="e">
        <f>VLOOKUP(A61,#REF!,2,FALSE)</f>
        <v>#REF!</v>
      </c>
      <c r="J61" t="e">
        <f>VLOOKUP(TableTemp[[#This Row],[Customer Code]],#REF!,2,FALSE)</f>
        <v>#REF!</v>
      </c>
      <c r="K61" t="e">
        <f>VLOOKUP(TableTemp[[#This Row],[Article code]],#REF!,2,FALSE)</f>
        <v>#REF!</v>
      </c>
      <c r="L61" t="e">
        <f>VLOOKUP(TableTemp[[#This Row],[Company]],#REF!,3,FALSE)</f>
        <v>#REF!</v>
      </c>
      <c r="M61" s="6" t="e">
        <f>IF(TableTemp[[#This Row],[Currency]]="EUR",ROUND(VLOOKUP(MONTH(TableTemp[[#This Row],[Document Date]]),#REF!,2,FALSE)*TableTemp[[#This Row],[Sales Local Currency]],2),ROUND(TableTemp[[#This Row],[Sales Local Currency]],2))</f>
        <v>#REF!</v>
      </c>
    </row>
    <row r="62" spans="1:13" x14ac:dyDescent="0.25">
      <c r="A62" s="2" t="s">
        <v>16</v>
      </c>
      <c r="B62">
        <v>44016</v>
      </c>
      <c r="C62" s="3">
        <v>43387</v>
      </c>
      <c r="D62">
        <v>8050</v>
      </c>
      <c r="E62">
        <v>108</v>
      </c>
      <c r="G62">
        <v>70</v>
      </c>
      <c r="H62">
        <v>1960</v>
      </c>
      <c r="I62" t="e">
        <f>VLOOKUP(A62,#REF!,2,FALSE)</f>
        <v>#REF!</v>
      </c>
      <c r="J62" t="e">
        <f>VLOOKUP(TableTemp[[#This Row],[Customer Code]],#REF!,2,FALSE)</f>
        <v>#REF!</v>
      </c>
      <c r="K62" t="e">
        <f>VLOOKUP(TableTemp[[#This Row],[Article code]],#REF!,2,FALSE)</f>
        <v>#REF!</v>
      </c>
      <c r="L62" t="e">
        <f>VLOOKUP(TableTemp[[#This Row],[Company]],#REF!,3,FALSE)</f>
        <v>#REF!</v>
      </c>
      <c r="M62" s="6" t="e">
        <f>IF(TableTemp[[#This Row],[Currency]]="EUR",ROUND(VLOOKUP(MONTH(TableTemp[[#This Row],[Document Date]]),#REF!,2,FALSE)*TableTemp[[#This Row],[Sales Local Currency]],2),ROUND(TableTemp[[#This Row],[Sales Local Currency]],2))</f>
        <v>#REF!</v>
      </c>
    </row>
    <row r="63" spans="1:13" x14ac:dyDescent="0.25">
      <c r="A63" s="2" t="s">
        <v>16</v>
      </c>
      <c r="B63">
        <v>44016</v>
      </c>
      <c r="C63" s="3">
        <v>43387</v>
      </c>
      <c r="D63">
        <v>8050</v>
      </c>
      <c r="E63">
        <v>109</v>
      </c>
      <c r="F63">
        <v>1</v>
      </c>
      <c r="G63">
        <v>60</v>
      </c>
      <c r="H63">
        <v>1680</v>
      </c>
      <c r="I63" t="e">
        <f>VLOOKUP(A63,#REF!,2,FALSE)</f>
        <v>#REF!</v>
      </c>
      <c r="J63" t="e">
        <f>VLOOKUP(TableTemp[[#This Row],[Customer Code]],#REF!,2,FALSE)</f>
        <v>#REF!</v>
      </c>
      <c r="K63" t="e">
        <f>VLOOKUP(TableTemp[[#This Row],[Article code]],#REF!,2,FALSE)</f>
        <v>#REF!</v>
      </c>
      <c r="L63" t="e">
        <f>VLOOKUP(TableTemp[[#This Row],[Company]],#REF!,3,FALSE)</f>
        <v>#REF!</v>
      </c>
      <c r="M63" s="6" t="e">
        <f>IF(TableTemp[[#This Row],[Currency]]="EUR",ROUND(VLOOKUP(MONTH(TableTemp[[#This Row],[Document Date]]),#REF!,2,FALSE)*TableTemp[[#This Row],[Sales Local Currency]],2),ROUND(TableTemp[[#This Row],[Sales Local Currency]],2))</f>
        <v>#REF!</v>
      </c>
    </row>
    <row r="64" spans="1:13" x14ac:dyDescent="0.25">
      <c r="A64" s="2" t="s">
        <v>16</v>
      </c>
      <c r="B64">
        <v>44016</v>
      </c>
      <c r="C64" s="3">
        <v>43387</v>
      </c>
      <c r="D64">
        <v>8050</v>
      </c>
      <c r="E64">
        <v>110</v>
      </c>
      <c r="G64">
        <v>50</v>
      </c>
      <c r="H64">
        <v>3000</v>
      </c>
      <c r="I64" t="e">
        <f>VLOOKUP(A64,#REF!,2,FALSE)</f>
        <v>#REF!</v>
      </c>
      <c r="J64" t="e">
        <f>VLOOKUP(TableTemp[[#This Row],[Customer Code]],#REF!,2,FALSE)</f>
        <v>#REF!</v>
      </c>
      <c r="K64" t="e">
        <f>VLOOKUP(TableTemp[[#This Row],[Article code]],#REF!,2,FALSE)</f>
        <v>#REF!</v>
      </c>
      <c r="L64" t="e">
        <f>VLOOKUP(TableTemp[[#This Row],[Company]],#REF!,3,FALSE)</f>
        <v>#REF!</v>
      </c>
      <c r="M64" s="6" t="e">
        <f>IF(TableTemp[[#This Row],[Currency]]="EUR",ROUND(VLOOKUP(MONTH(TableTemp[[#This Row],[Document Date]]),#REF!,2,FALSE)*TableTemp[[#This Row],[Sales Local Currency]],2),ROUND(TableTemp[[#This Row],[Sales Local Currency]],2))</f>
        <v>#REF!</v>
      </c>
    </row>
    <row r="65" spans="1:13" x14ac:dyDescent="0.25">
      <c r="A65" s="2" t="s">
        <v>16</v>
      </c>
      <c r="B65">
        <v>48097</v>
      </c>
      <c r="C65" s="3">
        <v>43390</v>
      </c>
      <c r="D65">
        <v>8060</v>
      </c>
      <c r="E65">
        <v>109</v>
      </c>
      <c r="G65">
        <v>60</v>
      </c>
      <c r="H65">
        <v>1680</v>
      </c>
      <c r="I65" t="e">
        <f>VLOOKUP(A65,#REF!,2,FALSE)</f>
        <v>#REF!</v>
      </c>
      <c r="J65" t="e">
        <f>VLOOKUP(TableTemp[[#This Row],[Customer Code]],#REF!,2,FALSE)</f>
        <v>#REF!</v>
      </c>
      <c r="K65" t="e">
        <f>VLOOKUP(TableTemp[[#This Row],[Article code]],#REF!,2,FALSE)</f>
        <v>#REF!</v>
      </c>
      <c r="L65" t="e">
        <f>VLOOKUP(TableTemp[[#This Row],[Company]],#REF!,3,FALSE)</f>
        <v>#REF!</v>
      </c>
      <c r="M65" s="6" t="e">
        <f>IF(TableTemp[[#This Row],[Currency]]="EUR",ROUND(VLOOKUP(MONTH(TableTemp[[#This Row],[Document Date]]),#REF!,2,FALSE)*TableTemp[[#This Row],[Sales Local Currency]],2),ROUND(TableTemp[[#This Row],[Sales Local Currency]],2))</f>
        <v>#REF!</v>
      </c>
    </row>
    <row r="66" spans="1:13" x14ac:dyDescent="0.25">
      <c r="A66" s="2" t="s">
        <v>16</v>
      </c>
      <c r="B66">
        <v>48097</v>
      </c>
      <c r="C66" s="3">
        <v>43390</v>
      </c>
      <c r="D66">
        <v>8060</v>
      </c>
      <c r="E66">
        <v>110</v>
      </c>
      <c r="G66">
        <v>70</v>
      </c>
      <c r="H66">
        <v>4200</v>
      </c>
      <c r="I66" t="e">
        <f>VLOOKUP(A66,#REF!,2,FALSE)</f>
        <v>#REF!</v>
      </c>
      <c r="J66" t="e">
        <f>VLOOKUP(TableTemp[[#This Row],[Customer Code]],#REF!,2,FALSE)</f>
        <v>#REF!</v>
      </c>
      <c r="K66" t="e">
        <f>VLOOKUP(TableTemp[[#This Row],[Article code]],#REF!,2,FALSE)</f>
        <v>#REF!</v>
      </c>
      <c r="L66" t="e">
        <f>VLOOKUP(TableTemp[[#This Row],[Company]],#REF!,3,FALSE)</f>
        <v>#REF!</v>
      </c>
      <c r="M66" s="6" t="e">
        <f>IF(TableTemp[[#This Row],[Currency]]="EUR",ROUND(VLOOKUP(MONTH(TableTemp[[#This Row],[Document Date]]),#REF!,2,FALSE)*TableTemp[[#This Row],[Sales Local Currency]],2),ROUND(TableTemp[[#This Row],[Sales Local Currency]],2))</f>
        <v>#REF!</v>
      </c>
    </row>
    <row r="67" spans="1:13" x14ac:dyDescent="0.25">
      <c r="A67" s="2" t="s">
        <v>16</v>
      </c>
      <c r="B67">
        <v>48099</v>
      </c>
      <c r="C67" s="3">
        <v>43390</v>
      </c>
      <c r="D67">
        <v>8050</v>
      </c>
      <c r="E67">
        <v>109</v>
      </c>
      <c r="F67">
        <v>1</v>
      </c>
      <c r="G67">
        <v>60</v>
      </c>
      <c r="H67">
        <v>1680</v>
      </c>
      <c r="I67" t="e">
        <f>VLOOKUP(A67,#REF!,2,FALSE)</f>
        <v>#REF!</v>
      </c>
      <c r="J67" t="e">
        <f>VLOOKUP(TableTemp[[#This Row],[Customer Code]],#REF!,2,FALSE)</f>
        <v>#REF!</v>
      </c>
      <c r="K67" t="e">
        <f>VLOOKUP(TableTemp[[#This Row],[Article code]],#REF!,2,FALSE)</f>
        <v>#REF!</v>
      </c>
      <c r="L67" t="e">
        <f>VLOOKUP(TableTemp[[#This Row],[Company]],#REF!,3,FALSE)</f>
        <v>#REF!</v>
      </c>
      <c r="M67" s="6" t="e">
        <f>IF(TableTemp[[#This Row],[Currency]]="EUR",ROUND(VLOOKUP(MONTH(TableTemp[[#This Row],[Document Date]]),#REF!,2,FALSE)*TableTemp[[#This Row],[Sales Local Currency]],2),ROUND(TableTemp[[#This Row],[Sales Local Currency]],2))</f>
        <v>#REF!</v>
      </c>
    </row>
    <row r="68" spans="1:13" x14ac:dyDescent="0.25">
      <c r="A68" s="2" t="s">
        <v>16</v>
      </c>
      <c r="B68">
        <v>48099</v>
      </c>
      <c r="C68" s="3">
        <v>43390</v>
      </c>
      <c r="D68">
        <v>8050</v>
      </c>
      <c r="E68">
        <v>110</v>
      </c>
      <c r="G68">
        <v>60</v>
      </c>
      <c r="H68">
        <v>3600</v>
      </c>
      <c r="I68" t="e">
        <f>VLOOKUP(A68,#REF!,2,FALSE)</f>
        <v>#REF!</v>
      </c>
      <c r="J68" t="e">
        <f>VLOOKUP(TableTemp[[#This Row],[Customer Code]],#REF!,2,FALSE)</f>
        <v>#REF!</v>
      </c>
      <c r="K68" t="e">
        <f>VLOOKUP(TableTemp[[#This Row],[Article code]],#REF!,2,FALSE)</f>
        <v>#REF!</v>
      </c>
      <c r="L68" t="e">
        <f>VLOOKUP(TableTemp[[#This Row],[Company]],#REF!,3,FALSE)</f>
        <v>#REF!</v>
      </c>
      <c r="M68" s="6" t="e">
        <f>IF(TableTemp[[#This Row],[Currency]]="EUR",ROUND(VLOOKUP(MONTH(TableTemp[[#This Row],[Document Date]]),#REF!,2,FALSE)*TableTemp[[#This Row],[Sales Local Currency]],2),ROUND(TableTemp[[#This Row],[Sales Local Currency]],2))</f>
        <v>#REF!</v>
      </c>
    </row>
    <row r="69" spans="1:13" x14ac:dyDescent="0.25">
      <c r="A69" s="2" t="s">
        <v>16</v>
      </c>
      <c r="B69">
        <v>48099</v>
      </c>
      <c r="C69" s="3">
        <v>43390</v>
      </c>
      <c r="D69">
        <v>8050</v>
      </c>
      <c r="E69">
        <v>111</v>
      </c>
      <c r="G69">
        <v>60</v>
      </c>
      <c r="H69">
        <v>1200</v>
      </c>
      <c r="I69" t="e">
        <f>VLOOKUP(A69,#REF!,2,FALSE)</f>
        <v>#REF!</v>
      </c>
      <c r="J69" t="e">
        <f>VLOOKUP(TableTemp[[#This Row],[Customer Code]],#REF!,2,FALSE)</f>
        <v>#REF!</v>
      </c>
      <c r="K69" t="e">
        <f>VLOOKUP(TableTemp[[#This Row],[Article code]],#REF!,2,FALSE)</f>
        <v>#REF!</v>
      </c>
      <c r="L69" t="e">
        <f>VLOOKUP(TableTemp[[#This Row],[Company]],#REF!,3,FALSE)</f>
        <v>#REF!</v>
      </c>
      <c r="M69" s="6" t="e">
        <f>IF(TableTemp[[#This Row],[Currency]]="EUR",ROUND(VLOOKUP(MONTH(TableTemp[[#This Row],[Document Date]]),#REF!,2,FALSE)*TableTemp[[#This Row],[Sales Local Currency]],2),ROUND(TableTemp[[#This Row],[Sales Local Currency]],2))</f>
        <v>#REF!</v>
      </c>
    </row>
    <row r="70" spans="1:13" x14ac:dyDescent="0.25">
      <c r="A70" s="2" t="s">
        <v>16</v>
      </c>
      <c r="B70">
        <v>48101</v>
      </c>
      <c r="C70" s="3">
        <v>43390</v>
      </c>
      <c r="D70">
        <v>8060</v>
      </c>
      <c r="E70">
        <v>109</v>
      </c>
      <c r="G70">
        <v>60</v>
      </c>
      <c r="H70">
        <v>1680</v>
      </c>
      <c r="I70" t="e">
        <f>VLOOKUP(A70,#REF!,2,FALSE)</f>
        <v>#REF!</v>
      </c>
      <c r="J70" t="e">
        <f>VLOOKUP(TableTemp[[#This Row],[Customer Code]],#REF!,2,FALSE)</f>
        <v>#REF!</v>
      </c>
      <c r="K70" t="e">
        <f>VLOOKUP(TableTemp[[#This Row],[Article code]],#REF!,2,FALSE)</f>
        <v>#REF!</v>
      </c>
      <c r="L70" t="e">
        <f>VLOOKUP(TableTemp[[#This Row],[Company]],#REF!,3,FALSE)</f>
        <v>#REF!</v>
      </c>
      <c r="M70" s="6" t="e">
        <f>IF(TableTemp[[#This Row],[Currency]]="EUR",ROUND(VLOOKUP(MONTH(TableTemp[[#This Row],[Document Date]]),#REF!,2,FALSE)*TableTemp[[#This Row],[Sales Local Currency]],2),ROUND(TableTemp[[#This Row],[Sales Local Currency]],2))</f>
        <v>#REF!</v>
      </c>
    </row>
    <row r="71" spans="1:13" x14ac:dyDescent="0.25">
      <c r="A71" s="2" t="s">
        <v>16</v>
      </c>
      <c r="B71">
        <v>48101</v>
      </c>
      <c r="C71" s="3">
        <v>43390</v>
      </c>
      <c r="D71">
        <v>8060</v>
      </c>
      <c r="E71">
        <v>110</v>
      </c>
      <c r="G71">
        <v>50</v>
      </c>
      <c r="H71">
        <v>3000</v>
      </c>
      <c r="I71" t="e">
        <f>VLOOKUP(A71,#REF!,2,FALSE)</f>
        <v>#REF!</v>
      </c>
      <c r="J71" t="e">
        <f>VLOOKUP(TableTemp[[#This Row],[Customer Code]],#REF!,2,FALSE)</f>
        <v>#REF!</v>
      </c>
      <c r="K71" t="e">
        <f>VLOOKUP(TableTemp[[#This Row],[Article code]],#REF!,2,FALSE)</f>
        <v>#REF!</v>
      </c>
      <c r="L71" t="e">
        <f>VLOOKUP(TableTemp[[#This Row],[Company]],#REF!,3,FALSE)</f>
        <v>#REF!</v>
      </c>
      <c r="M71" s="6" t="e">
        <f>IF(TableTemp[[#This Row],[Currency]]="EUR",ROUND(VLOOKUP(MONTH(TableTemp[[#This Row],[Document Date]]),#REF!,2,FALSE)*TableTemp[[#This Row],[Sales Local Currency]],2),ROUND(TableTemp[[#This Row],[Sales Local Currency]],2))</f>
        <v>#REF!</v>
      </c>
    </row>
    <row r="72" spans="1:13" x14ac:dyDescent="0.25">
      <c r="A72" s="2" t="s">
        <v>16</v>
      </c>
      <c r="B72">
        <v>45427</v>
      </c>
      <c r="C72" s="3">
        <v>43394</v>
      </c>
      <c r="D72">
        <v>8050</v>
      </c>
      <c r="E72">
        <v>108</v>
      </c>
      <c r="G72">
        <v>70</v>
      </c>
      <c r="H72">
        <v>1960</v>
      </c>
      <c r="I72" t="e">
        <f>VLOOKUP(A72,#REF!,2,FALSE)</f>
        <v>#REF!</v>
      </c>
      <c r="J72" t="e">
        <f>VLOOKUP(TableTemp[[#This Row],[Customer Code]],#REF!,2,FALSE)</f>
        <v>#REF!</v>
      </c>
      <c r="K72" t="e">
        <f>VLOOKUP(TableTemp[[#This Row],[Article code]],#REF!,2,FALSE)</f>
        <v>#REF!</v>
      </c>
      <c r="L72" t="e">
        <f>VLOOKUP(TableTemp[[#This Row],[Company]],#REF!,3,FALSE)</f>
        <v>#REF!</v>
      </c>
      <c r="M72" s="6" t="e">
        <f>IF(TableTemp[[#This Row],[Currency]]="EUR",ROUND(VLOOKUP(MONTH(TableTemp[[#This Row],[Document Date]]),#REF!,2,FALSE)*TableTemp[[#This Row],[Sales Local Currency]],2),ROUND(TableTemp[[#This Row],[Sales Local Currency]],2))</f>
        <v>#REF!</v>
      </c>
    </row>
    <row r="73" spans="1:13" x14ac:dyDescent="0.25">
      <c r="A73" s="2" t="s">
        <v>16</v>
      </c>
      <c r="B73">
        <v>45427</v>
      </c>
      <c r="C73" s="3">
        <v>43394</v>
      </c>
      <c r="D73">
        <v>8050</v>
      </c>
      <c r="E73">
        <v>109</v>
      </c>
      <c r="G73">
        <v>60</v>
      </c>
      <c r="H73">
        <v>1680</v>
      </c>
      <c r="I73" t="e">
        <f>VLOOKUP(A73,#REF!,2,FALSE)</f>
        <v>#REF!</v>
      </c>
      <c r="J73" t="e">
        <f>VLOOKUP(TableTemp[[#This Row],[Customer Code]],#REF!,2,FALSE)</f>
        <v>#REF!</v>
      </c>
      <c r="K73" t="e">
        <f>VLOOKUP(TableTemp[[#This Row],[Article code]],#REF!,2,FALSE)</f>
        <v>#REF!</v>
      </c>
      <c r="L73" t="e">
        <f>VLOOKUP(TableTemp[[#This Row],[Company]],#REF!,3,FALSE)</f>
        <v>#REF!</v>
      </c>
      <c r="M73" s="6" t="e">
        <f>IF(TableTemp[[#This Row],[Currency]]="EUR",ROUND(VLOOKUP(MONTH(TableTemp[[#This Row],[Document Date]]),#REF!,2,FALSE)*TableTemp[[#This Row],[Sales Local Currency]],2),ROUND(TableTemp[[#This Row],[Sales Local Currency]],2))</f>
        <v>#REF!</v>
      </c>
    </row>
    <row r="74" spans="1:13" x14ac:dyDescent="0.25">
      <c r="A74" s="2" t="s">
        <v>16</v>
      </c>
      <c r="B74">
        <v>45429</v>
      </c>
      <c r="C74" s="3">
        <v>43394</v>
      </c>
      <c r="D74">
        <v>8060</v>
      </c>
      <c r="E74">
        <v>108</v>
      </c>
      <c r="G74">
        <v>80</v>
      </c>
      <c r="H74">
        <v>2240</v>
      </c>
      <c r="I74" t="e">
        <f>VLOOKUP(A74,#REF!,2,FALSE)</f>
        <v>#REF!</v>
      </c>
      <c r="J74" t="e">
        <f>VLOOKUP(TableTemp[[#This Row],[Customer Code]],#REF!,2,FALSE)</f>
        <v>#REF!</v>
      </c>
      <c r="K74" t="e">
        <f>VLOOKUP(TableTemp[[#This Row],[Article code]],#REF!,2,FALSE)</f>
        <v>#REF!</v>
      </c>
      <c r="L74" t="e">
        <f>VLOOKUP(TableTemp[[#This Row],[Company]],#REF!,3,FALSE)</f>
        <v>#REF!</v>
      </c>
      <c r="M74" s="6" t="e">
        <f>IF(TableTemp[[#This Row],[Currency]]="EUR",ROUND(VLOOKUP(MONTH(TableTemp[[#This Row],[Document Date]]),#REF!,2,FALSE)*TableTemp[[#This Row],[Sales Local Currency]],2),ROUND(TableTemp[[#This Row],[Sales Local Currency]],2))</f>
        <v>#REF!</v>
      </c>
    </row>
    <row r="75" spans="1:13" x14ac:dyDescent="0.25">
      <c r="A75" s="2" t="s">
        <v>16</v>
      </c>
      <c r="B75">
        <v>45429</v>
      </c>
      <c r="C75" s="3">
        <v>43394</v>
      </c>
      <c r="D75">
        <v>8060</v>
      </c>
      <c r="E75">
        <v>109</v>
      </c>
      <c r="F75">
        <v>2</v>
      </c>
      <c r="G75">
        <v>80</v>
      </c>
      <c r="H75">
        <v>2240</v>
      </c>
      <c r="I75" t="e">
        <f>VLOOKUP(A75,#REF!,2,FALSE)</f>
        <v>#REF!</v>
      </c>
      <c r="J75" t="e">
        <f>VLOOKUP(TableTemp[[#This Row],[Customer Code]],#REF!,2,FALSE)</f>
        <v>#REF!</v>
      </c>
      <c r="K75" t="e">
        <f>VLOOKUP(TableTemp[[#This Row],[Article code]],#REF!,2,FALSE)</f>
        <v>#REF!</v>
      </c>
      <c r="L75" t="e">
        <f>VLOOKUP(TableTemp[[#This Row],[Company]],#REF!,3,FALSE)</f>
        <v>#REF!</v>
      </c>
      <c r="M75" s="6" t="e">
        <f>IF(TableTemp[[#This Row],[Currency]]="EUR",ROUND(VLOOKUP(MONTH(TableTemp[[#This Row],[Document Date]]),#REF!,2,FALSE)*TableTemp[[#This Row],[Sales Local Currency]],2),ROUND(TableTemp[[#This Row],[Sales Local Currency]],2))</f>
        <v>#REF!</v>
      </c>
    </row>
    <row r="76" spans="1:13" x14ac:dyDescent="0.25">
      <c r="A76" s="2" t="s">
        <v>16</v>
      </c>
      <c r="B76">
        <v>45429</v>
      </c>
      <c r="C76" s="3">
        <v>43394</v>
      </c>
      <c r="D76">
        <v>8060</v>
      </c>
      <c r="E76">
        <v>110</v>
      </c>
      <c r="G76">
        <v>50</v>
      </c>
      <c r="H76">
        <v>3000</v>
      </c>
      <c r="I76" t="e">
        <f>VLOOKUP(A76,#REF!,2,FALSE)</f>
        <v>#REF!</v>
      </c>
      <c r="J76" t="e">
        <f>VLOOKUP(TableTemp[[#This Row],[Customer Code]],#REF!,2,FALSE)</f>
        <v>#REF!</v>
      </c>
      <c r="K76" t="e">
        <f>VLOOKUP(TableTemp[[#This Row],[Article code]],#REF!,2,FALSE)</f>
        <v>#REF!</v>
      </c>
      <c r="L76" t="e">
        <f>VLOOKUP(TableTemp[[#This Row],[Company]],#REF!,3,FALSE)</f>
        <v>#REF!</v>
      </c>
      <c r="M76" s="6" t="e">
        <f>IF(TableTemp[[#This Row],[Currency]]="EUR",ROUND(VLOOKUP(MONTH(TableTemp[[#This Row],[Document Date]]),#REF!,2,FALSE)*TableTemp[[#This Row],[Sales Local Currency]],2),ROUND(TableTemp[[#This Row],[Sales Local Currency]],2))</f>
        <v>#REF!</v>
      </c>
    </row>
    <row r="77" spans="1:13" x14ac:dyDescent="0.25">
      <c r="A77" s="2" t="s">
        <v>16</v>
      </c>
      <c r="B77">
        <v>45431</v>
      </c>
      <c r="C77" s="3">
        <v>43394</v>
      </c>
      <c r="D77">
        <v>8050</v>
      </c>
      <c r="E77">
        <v>111</v>
      </c>
      <c r="G77">
        <v>60</v>
      </c>
      <c r="H77">
        <v>1200</v>
      </c>
      <c r="I77" t="e">
        <f>VLOOKUP(A77,#REF!,2,FALSE)</f>
        <v>#REF!</v>
      </c>
      <c r="J77" t="e">
        <f>VLOOKUP(TableTemp[[#This Row],[Customer Code]],#REF!,2,FALSE)</f>
        <v>#REF!</v>
      </c>
      <c r="K77" t="e">
        <f>VLOOKUP(TableTemp[[#This Row],[Article code]],#REF!,2,FALSE)</f>
        <v>#REF!</v>
      </c>
      <c r="L77" t="e">
        <f>VLOOKUP(TableTemp[[#This Row],[Company]],#REF!,3,FALSE)</f>
        <v>#REF!</v>
      </c>
      <c r="M77" s="6" t="e">
        <f>IF(TableTemp[[#This Row],[Currency]]="EUR",ROUND(VLOOKUP(MONTH(TableTemp[[#This Row],[Document Date]]),#REF!,2,FALSE)*TableTemp[[#This Row],[Sales Local Currency]],2),ROUND(TableTemp[[#This Row],[Sales Local Currency]],2))</f>
        <v>#REF!</v>
      </c>
    </row>
    <row r="78" spans="1:13" x14ac:dyDescent="0.25">
      <c r="A78" s="2" t="s">
        <v>16</v>
      </c>
      <c r="B78">
        <v>45431</v>
      </c>
      <c r="C78" s="3">
        <v>43394</v>
      </c>
      <c r="D78">
        <v>8050</v>
      </c>
      <c r="E78">
        <v>108</v>
      </c>
      <c r="G78">
        <v>60</v>
      </c>
      <c r="H78">
        <v>1680</v>
      </c>
      <c r="I78" t="e">
        <f>VLOOKUP(A78,#REF!,2,FALSE)</f>
        <v>#REF!</v>
      </c>
      <c r="J78" t="e">
        <f>VLOOKUP(TableTemp[[#This Row],[Customer Code]],#REF!,2,FALSE)</f>
        <v>#REF!</v>
      </c>
      <c r="K78" t="e">
        <f>VLOOKUP(TableTemp[[#This Row],[Article code]],#REF!,2,FALSE)</f>
        <v>#REF!</v>
      </c>
      <c r="L78" t="e">
        <f>VLOOKUP(TableTemp[[#This Row],[Company]],#REF!,3,FALSE)</f>
        <v>#REF!</v>
      </c>
      <c r="M78" s="6" t="e">
        <f>IF(TableTemp[[#This Row],[Currency]]="EUR",ROUND(VLOOKUP(MONTH(TableTemp[[#This Row],[Document Date]]),#REF!,2,FALSE)*TableTemp[[#This Row],[Sales Local Currency]],2),ROUND(TableTemp[[#This Row],[Sales Local Currency]],2))</f>
        <v>#REF!</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activeCell="F43" sqref="F43"/>
    </sheetView>
  </sheetViews>
  <sheetFormatPr defaultRowHeight="12.5" x14ac:dyDescent="0.25"/>
  <cols>
    <col min="1" max="1" width="10.26953125"/>
    <col min="3" max="3" width="16.08984375" customWidth="1"/>
  </cols>
  <sheetData>
    <row r="2" spans="2:9" x14ac:dyDescent="0.25">
      <c r="B2" t="s">
        <v>20</v>
      </c>
      <c r="C2" t="s">
        <v>16</v>
      </c>
    </row>
    <row r="4" spans="2:9" x14ac:dyDescent="0.25">
      <c r="B4" t="s">
        <v>1</v>
      </c>
      <c r="C4" t="s">
        <v>21</v>
      </c>
      <c r="D4" t="s">
        <v>47</v>
      </c>
      <c r="E4" t="s">
        <v>33</v>
      </c>
      <c r="F4" t="s">
        <v>34</v>
      </c>
      <c r="G4" t="s">
        <v>25</v>
      </c>
      <c r="H4" t="s">
        <v>23</v>
      </c>
      <c r="I4" t="s">
        <v>24</v>
      </c>
    </row>
    <row r="5" spans="2:9" x14ac:dyDescent="0.25">
      <c r="B5">
        <v>44030</v>
      </c>
      <c r="C5" s="3">
        <v>43377</v>
      </c>
      <c r="E5">
        <v>8060</v>
      </c>
      <c r="F5">
        <v>108</v>
      </c>
      <c r="G5" t="s">
        <v>0</v>
      </c>
      <c r="H5">
        <v>60</v>
      </c>
      <c r="I5">
        <v>1680</v>
      </c>
    </row>
    <row r="6" spans="2:9" x14ac:dyDescent="0.25">
      <c r="B6">
        <v>44030</v>
      </c>
      <c r="C6" s="3">
        <v>43377</v>
      </c>
      <c r="E6">
        <v>8060</v>
      </c>
      <c r="F6">
        <v>109</v>
      </c>
      <c r="G6">
        <v>1</v>
      </c>
      <c r="H6">
        <v>60</v>
      </c>
      <c r="I6">
        <v>1680</v>
      </c>
    </row>
    <row r="7" spans="2:9" x14ac:dyDescent="0.25">
      <c r="B7">
        <v>44032</v>
      </c>
      <c r="C7" s="3">
        <v>43380</v>
      </c>
      <c r="E7">
        <v>8060</v>
      </c>
      <c r="F7">
        <v>108</v>
      </c>
      <c r="G7" t="s">
        <v>0</v>
      </c>
      <c r="H7">
        <v>60</v>
      </c>
      <c r="I7">
        <v>1680</v>
      </c>
    </row>
    <row r="8" spans="2:9" x14ac:dyDescent="0.25">
      <c r="B8">
        <v>44032</v>
      </c>
      <c r="C8" s="3">
        <v>43380</v>
      </c>
      <c r="E8">
        <v>8060</v>
      </c>
      <c r="F8">
        <v>109</v>
      </c>
      <c r="H8">
        <v>70</v>
      </c>
      <c r="I8">
        <v>1960</v>
      </c>
    </row>
    <row r="9" spans="2:9" x14ac:dyDescent="0.25">
      <c r="B9">
        <v>44031</v>
      </c>
      <c r="C9" s="3">
        <v>43381</v>
      </c>
      <c r="E9">
        <v>8050</v>
      </c>
      <c r="F9">
        <v>108</v>
      </c>
      <c r="G9" t="s">
        <v>0</v>
      </c>
      <c r="H9">
        <v>60</v>
      </c>
      <c r="I9">
        <v>1680</v>
      </c>
    </row>
    <row r="10" spans="2:9" x14ac:dyDescent="0.25">
      <c r="B10">
        <v>44031</v>
      </c>
      <c r="C10" s="3">
        <v>43381</v>
      </c>
      <c r="E10">
        <v>8050</v>
      </c>
      <c r="F10">
        <v>109</v>
      </c>
      <c r="G10" t="s">
        <v>0</v>
      </c>
      <c r="H10">
        <v>50</v>
      </c>
      <c r="I10">
        <v>1400</v>
      </c>
    </row>
    <row r="11" spans="2:9" x14ac:dyDescent="0.25">
      <c r="B11">
        <v>44031</v>
      </c>
      <c r="C11" s="3">
        <v>43381</v>
      </c>
      <c r="E11">
        <v>8050</v>
      </c>
      <c r="F11">
        <v>110</v>
      </c>
      <c r="G11" t="s">
        <v>0</v>
      </c>
      <c r="H11">
        <v>60</v>
      </c>
      <c r="I11">
        <v>3600</v>
      </c>
    </row>
    <row r="12" spans="2:9" x14ac:dyDescent="0.25">
      <c r="B12">
        <v>48112</v>
      </c>
      <c r="C12" s="3">
        <v>43384</v>
      </c>
      <c r="E12">
        <v>8060</v>
      </c>
      <c r="F12">
        <v>109</v>
      </c>
      <c r="H12">
        <v>60</v>
      </c>
      <c r="I12">
        <v>1680</v>
      </c>
    </row>
    <row r="13" spans="2:9" x14ac:dyDescent="0.25">
      <c r="B13">
        <v>48112</v>
      </c>
      <c r="C13" s="3">
        <v>43384</v>
      </c>
      <c r="E13">
        <v>8060</v>
      </c>
      <c r="F13">
        <v>110</v>
      </c>
      <c r="G13" t="s">
        <v>0</v>
      </c>
      <c r="H13">
        <v>50</v>
      </c>
      <c r="I13">
        <v>3000</v>
      </c>
    </row>
    <row r="14" spans="2:9" x14ac:dyDescent="0.25">
      <c r="B14">
        <v>48114</v>
      </c>
      <c r="C14" s="3">
        <v>43384</v>
      </c>
      <c r="E14">
        <v>8050</v>
      </c>
      <c r="F14">
        <v>109</v>
      </c>
      <c r="H14">
        <v>60</v>
      </c>
      <c r="I14">
        <v>1680</v>
      </c>
    </row>
    <row r="15" spans="2:9" x14ac:dyDescent="0.25">
      <c r="B15">
        <v>48114</v>
      </c>
      <c r="C15" s="3">
        <v>43384</v>
      </c>
      <c r="E15">
        <v>8050</v>
      </c>
      <c r="F15">
        <v>110</v>
      </c>
      <c r="H15">
        <v>60</v>
      </c>
      <c r="I15">
        <v>3600</v>
      </c>
    </row>
    <row r="16" spans="2:9" x14ac:dyDescent="0.25">
      <c r="B16">
        <v>48114</v>
      </c>
      <c r="C16" s="3">
        <v>43384</v>
      </c>
      <c r="E16">
        <v>8050</v>
      </c>
      <c r="F16">
        <v>111</v>
      </c>
      <c r="H16">
        <v>80</v>
      </c>
      <c r="I16">
        <v>1600</v>
      </c>
    </row>
    <row r="17" spans="1:9" x14ac:dyDescent="0.25">
      <c r="B17">
        <v>48116</v>
      </c>
      <c r="C17" s="3">
        <v>43384</v>
      </c>
      <c r="E17">
        <v>8060</v>
      </c>
      <c r="F17">
        <v>109</v>
      </c>
      <c r="H17">
        <v>60</v>
      </c>
      <c r="I17">
        <v>1680</v>
      </c>
    </row>
    <row r="18" spans="1:9" x14ac:dyDescent="0.25">
      <c r="B18">
        <v>48116</v>
      </c>
      <c r="C18" s="3">
        <v>43384</v>
      </c>
      <c r="E18">
        <v>8060</v>
      </c>
      <c r="F18">
        <v>110</v>
      </c>
      <c r="H18">
        <v>60</v>
      </c>
      <c r="I18">
        <v>3600</v>
      </c>
    </row>
    <row r="19" spans="1:9" x14ac:dyDescent="0.25">
      <c r="B19">
        <v>45442</v>
      </c>
      <c r="C19" s="3">
        <v>43388</v>
      </c>
      <c r="E19">
        <v>8050</v>
      </c>
      <c r="F19">
        <v>108</v>
      </c>
      <c r="H19">
        <v>50</v>
      </c>
      <c r="I19">
        <v>1400</v>
      </c>
    </row>
    <row r="20" spans="1:9" x14ac:dyDescent="0.25">
      <c r="B20">
        <v>45442</v>
      </c>
      <c r="C20" s="3">
        <v>43388</v>
      </c>
      <c r="E20">
        <v>8050</v>
      </c>
      <c r="F20">
        <v>109</v>
      </c>
      <c r="G20">
        <v>1</v>
      </c>
      <c r="H20">
        <v>60</v>
      </c>
      <c r="I20">
        <v>1680</v>
      </c>
    </row>
    <row r="21" spans="1:9" x14ac:dyDescent="0.25">
      <c r="B21">
        <v>45444</v>
      </c>
      <c r="C21" s="3">
        <v>43388</v>
      </c>
      <c r="E21">
        <v>8060</v>
      </c>
      <c r="F21">
        <v>108</v>
      </c>
      <c r="H21">
        <v>60</v>
      </c>
      <c r="I21">
        <v>1680</v>
      </c>
    </row>
    <row r="22" spans="1:9" x14ac:dyDescent="0.25">
      <c r="B22">
        <v>45444</v>
      </c>
      <c r="C22" s="3">
        <v>43388</v>
      </c>
      <c r="E22">
        <v>8060</v>
      </c>
      <c r="F22">
        <v>109</v>
      </c>
      <c r="H22">
        <v>70</v>
      </c>
      <c r="I22">
        <v>1960</v>
      </c>
    </row>
    <row r="23" spans="1:9" x14ac:dyDescent="0.25">
      <c r="B23">
        <v>45444</v>
      </c>
      <c r="C23" s="3">
        <v>43388</v>
      </c>
      <c r="E23">
        <v>8060</v>
      </c>
      <c r="F23">
        <v>110</v>
      </c>
      <c r="H23">
        <v>60</v>
      </c>
      <c r="I23">
        <v>3600</v>
      </c>
    </row>
    <row r="24" spans="1:9" x14ac:dyDescent="0.25">
      <c r="B24">
        <v>45446</v>
      </c>
      <c r="C24" s="3">
        <v>43388</v>
      </c>
      <c r="E24">
        <v>8050</v>
      </c>
      <c r="F24">
        <v>111</v>
      </c>
      <c r="H24">
        <v>80</v>
      </c>
      <c r="I24">
        <v>1600</v>
      </c>
    </row>
    <row r="25" spans="1:9" x14ac:dyDescent="0.25">
      <c r="B25">
        <v>45446</v>
      </c>
      <c r="C25" s="3">
        <v>43388</v>
      </c>
      <c r="E25">
        <v>8050</v>
      </c>
      <c r="F25">
        <v>108</v>
      </c>
      <c r="H25">
        <v>50</v>
      </c>
      <c r="I25">
        <v>1400</v>
      </c>
    </row>
    <row r="26" spans="1:9" x14ac:dyDescent="0.25">
      <c r="A26" s="3"/>
      <c r="B26">
        <v>44015</v>
      </c>
      <c r="C26" s="3">
        <v>43383</v>
      </c>
      <c r="E26">
        <v>8060</v>
      </c>
      <c r="F26">
        <v>108</v>
      </c>
      <c r="H26">
        <v>60</v>
      </c>
      <c r="I26">
        <v>1680</v>
      </c>
    </row>
    <row r="27" spans="1:9" x14ac:dyDescent="0.25">
      <c r="A27" s="3"/>
      <c r="B27">
        <v>44015</v>
      </c>
      <c r="C27" s="3">
        <v>43383</v>
      </c>
      <c r="E27">
        <v>8060</v>
      </c>
      <c r="F27">
        <v>109</v>
      </c>
      <c r="H27">
        <v>70</v>
      </c>
      <c r="I27">
        <v>1960</v>
      </c>
    </row>
    <row r="28" spans="1:9" x14ac:dyDescent="0.25">
      <c r="A28" s="3"/>
      <c r="B28">
        <v>44017</v>
      </c>
      <c r="C28" s="3">
        <v>43386</v>
      </c>
      <c r="E28">
        <v>8060</v>
      </c>
      <c r="F28">
        <v>108</v>
      </c>
      <c r="H28">
        <v>70</v>
      </c>
      <c r="I28">
        <v>1960</v>
      </c>
    </row>
    <row r="29" spans="1:9" x14ac:dyDescent="0.25">
      <c r="A29" s="3"/>
      <c r="B29">
        <v>44017</v>
      </c>
      <c r="C29" s="3">
        <v>43386</v>
      </c>
      <c r="E29">
        <v>8060</v>
      </c>
      <c r="F29">
        <v>109</v>
      </c>
      <c r="H29">
        <v>70</v>
      </c>
      <c r="I29">
        <v>1960</v>
      </c>
    </row>
    <row r="30" spans="1:9" x14ac:dyDescent="0.25">
      <c r="A30" s="3"/>
      <c r="B30">
        <v>44016</v>
      </c>
      <c r="C30" s="3">
        <v>43387</v>
      </c>
      <c r="E30">
        <v>8050</v>
      </c>
      <c r="F30">
        <v>108</v>
      </c>
      <c r="H30">
        <v>70</v>
      </c>
      <c r="I30">
        <v>1960</v>
      </c>
    </row>
    <row r="31" spans="1:9" x14ac:dyDescent="0.25">
      <c r="A31" s="3"/>
      <c r="B31">
        <v>44016</v>
      </c>
      <c r="C31" s="3">
        <v>43387</v>
      </c>
      <c r="E31">
        <v>8050</v>
      </c>
      <c r="F31">
        <v>109</v>
      </c>
      <c r="G31">
        <v>1</v>
      </c>
      <c r="H31">
        <v>60</v>
      </c>
      <c r="I31">
        <v>1680</v>
      </c>
    </row>
    <row r="32" spans="1:9" x14ac:dyDescent="0.25">
      <c r="A32" s="3"/>
      <c r="B32">
        <v>44016</v>
      </c>
      <c r="C32" s="3">
        <v>43387</v>
      </c>
      <c r="E32">
        <v>8050</v>
      </c>
      <c r="F32">
        <v>110</v>
      </c>
      <c r="H32">
        <v>50</v>
      </c>
      <c r="I32">
        <v>3000</v>
      </c>
    </row>
    <row r="33" spans="1:9" x14ac:dyDescent="0.25">
      <c r="A33" s="3"/>
      <c r="B33">
        <v>48097</v>
      </c>
      <c r="C33" s="3">
        <v>43390</v>
      </c>
      <c r="E33">
        <v>8060</v>
      </c>
      <c r="F33">
        <v>109</v>
      </c>
      <c r="H33">
        <v>60</v>
      </c>
      <c r="I33">
        <v>1680</v>
      </c>
    </row>
    <row r="34" spans="1:9" x14ac:dyDescent="0.25">
      <c r="A34" s="3"/>
      <c r="B34">
        <v>48097</v>
      </c>
      <c r="C34" s="3">
        <v>43390</v>
      </c>
      <c r="E34">
        <v>8060</v>
      </c>
      <c r="F34">
        <v>110</v>
      </c>
      <c r="H34">
        <v>70</v>
      </c>
      <c r="I34">
        <v>4200</v>
      </c>
    </row>
    <row r="35" spans="1:9" x14ac:dyDescent="0.25">
      <c r="A35" s="3"/>
      <c r="B35">
        <v>48099</v>
      </c>
      <c r="C35" s="3">
        <v>43390</v>
      </c>
      <c r="E35">
        <v>8050</v>
      </c>
      <c r="F35">
        <v>109</v>
      </c>
      <c r="G35">
        <v>1</v>
      </c>
      <c r="H35">
        <v>60</v>
      </c>
      <c r="I35">
        <v>1680</v>
      </c>
    </row>
    <row r="36" spans="1:9" x14ac:dyDescent="0.25">
      <c r="A36" s="3"/>
      <c r="B36">
        <v>48099</v>
      </c>
      <c r="C36" s="3">
        <v>43390</v>
      </c>
      <c r="E36">
        <v>8050</v>
      </c>
      <c r="F36">
        <v>110</v>
      </c>
      <c r="H36">
        <v>60</v>
      </c>
      <c r="I36">
        <v>3600</v>
      </c>
    </row>
    <row r="37" spans="1:9" x14ac:dyDescent="0.25">
      <c r="A37" s="3"/>
      <c r="B37">
        <v>48099</v>
      </c>
      <c r="C37" s="3">
        <v>43390</v>
      </c>
      <c r="E37">
        <v>8050</v>
      </c>
      <c r="F37">
        <v>111</v>
      </c>
      <c r="H37">
        <v>60</v>
      </c>
      <c r="I37">
        <v>1200</v>
      </c>
    </row>
    <row r="38" spans="1:9" x14ac:dyDescent="0.25">
      <c r="A38" s="3"/>
      <c r="B38">
        <v>48101</v>
      </c>
      <c r="C38" s="3">
        <v>43390</v>
      </c>
      <c r="E38">
        <v>8060</v>
      </c>
      <c r="F38">
        <v>109</v>
      </c>
      <c r="H38">
        <v>60</v>
      </c>
      <c r="I38">
        <v>1680</v>
      </c>
    </row>
    <row r="39" spans="1:9" x14ac:dyDescent="0.25">
      <c r="A39" s="3"/>
      <c r="B39">
        <v>48101</v>
      </c>
      <c r="C39" s="3">
        <v>43390</v>
      </c>
      <c r="E39">
        <v>8060</v>
      </c>
      <c r="F39">
        <v>110</v>
      </c>
      <c r="H39">
        <v>50</v>
      </c>
      <c r="I39">
        <v>3000</v>
      </c>
    </row>
    <row r="40" spans="1:9" x14ac:dyDescent="0.25">
      <c r="A40" s="3"/>
      <c r="B40">
        <v>45427</v>
      </c>
      <c r="C40" s="3">
        <v>43394</v>
      </c>
      <c r="E40">
        <v>8050</v>
      </c>
      <c r="F40">
        <v>108</v>
      </c>
      <c r="H40">
        <v>70</v>
      </c>
      <c r="I40">
        <v>1960</v>
      </c>
    </row>
    <row r="41" spans="1:9" x14ac:dyDescent="0.25">
      <c r="A41" s="3"/>
      <c r="B41">
        <v>45427</v>
      </c>
      <c r="C41" s="3">
        <v>43394</v>
      </c>
      <c r="E41">
        <v>8050</v>
      </c>
      <c r="F41">
        <v>109</v>
      </c>
      <c r="H41">
        <v>60</v>
      </c>
      <c r="I41">
        <v>1680</v>
      </c>
    </row>
    <row r="42" spans="1:9" x14ac:dyDescent="0.25">
      <c r="A42" s="3"/>
      <c r="B42">
        <v>45429</v>
      </c>
      <c r="C42" s="3">
        <v>43394</v>
      </c>
      <c r="E42">
        <v>8060</v>
      </c>
      <c r="F42">
        <v>108</v>
      </c>
      <c r="H42">
        <v>80</v>
      </c>
      <c r="I42">
        <v>2240</v>
      </c>
    </row>
    <row r="43" spans="1:9" x14ac:dyDescent="0.25">
      <c r="A43" s="3"/>
      <c r="B43">
        <v>45429</v>
      </c>
      <c r="C43" s="3">
        <v>43394</v>
      </c>
      <c r="E43">
        <v>8060</v>
      </c>
      <c r="F43">
        <v>109</v>
      </c>
      <c r="G43">
        <v>2</v>
      </c>
      <c r="H43">
        <v>80</v>
      </c>
      <c r="I43">
        <v>2240</v>
      </c>
    </row>
    <row r="44" spans="1:9" x14ac:dyDescent="0.25">
      <c r="A44" s="3"/>
      <c r="B44">
        <v>45429</v>
      </c>
      <c r="C44" s="3">
        <v>43394</v>
      </c>
      <c r="E44">
        <v>8060</v>
      </c>
      <c r="F44">
        <v>110</v>
      </c>
      <c r="H44">
        <v>50</v>
      </c>
      <c r="I44">
        <v>3000</v>
      </c>
    </row>
    <row r="45" spans="1:9" x14ac:dyDescent="0.25">
      <c r="A45" s="3"/>
      <c r="B45">
        <v>45431</v>
      </c>
      <c r="C45" s="3">
        <v>43394</v>
      </c>
      <c r="E45">
        <v>8050</v>
      </c>
      <c r="F45">
        <v>111</v>
      </c>
      <c r="H45">
        <v>60</v>
      </c>
      <c r="I45">
        <v>1200</v>
      </c>
    </row>
    <row r="46" spans="1:9" x14ac:dyDescent="0.25">
      <c r="A46" s="3"/>
      <c r="B46">
        <v>45431</v>
      </c>
      <c r="C46" s="3">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vt:lpstr>
      <vt:lpstr>Summary</vt:lpstr>
      <vt:lpstr>RegionTemp</vt:lpstr>
      <vt:lpstr>NewData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Atta ul Momin</cp:lastModifiedBy>
  <dcterms:created xsi:type="dcterms:W3CDTF">2017-10-02T07:41:32Z</dcterms:created>
  <dcterms:modified xsi:type="dcterms:W3CDTF">2024-08-09T20:59:14Z</dcterms:modified>
</cp:coreProperties>
</file>